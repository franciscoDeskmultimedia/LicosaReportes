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ROYECTO" state="visible" r:id="rId5"/>
    <sheet sheetId="3" name="Rubros" state="visible" r:id="rId6"/>
    <sheet sheetId="4" name="Registro Diario" state="visible" r:id="rId7"/>
    <sheet sheetId="5" name="CONTROL DE HOROMETRO" state="visible" r:id="rId8"/>
  </sheets>
  <calcPr calcId="171027"/>
</workbook>
</file>

<file path=xl/sharedStrings.xml><?xml version="1.0" encoding="utf-8"?>
<sst xmlns="http://schemas.openxmlformats.org/spreadsheetml/2006/main" count="143" uniqueCount="108">
  <si>
    <t>GUÍA OFICIAL DE USO DE LA PLANTILLA MAESTRA UNIFICADA DE LICOSA</t>
  </si>
  <si>
    <t>Sistema de Control de Obras Viales, Infraestructura y Maquinaria Pesada</t>
  </si>
  <si>
    <t>1. Hoja "PROYECTO"</t>
  </si>
  <si>
    <t>Contiene la ficha contractual del proyecto. Es leída automáticamente al crear un nuevo proyecto en el sistema.</t>
  </si>
  <si>
    <t>2. Hoja "Rubros"</t>
  </si>
  <si>
    <t>Catálogo contractual de rubros presupuestados con sus precios unitarios, unidades y volúmenes.</t>
  </si>
  <si>
    <t>3. Hoja "Registro Diario"</t>
  </si>
  <si>
    <t>Bitácora cronológica de avances volumétricos con tramos y abscisas (DESDE / HASTA).</t>
  </si>
  <si>
    <t>4. Hoja "RDO"</t>
  </si>
  <si>
    <t>Formato oficial de Reporte Diario de Obra con control de clima, EHS, equipos, personal, rubros y actividades.</t>
  </si>
  <si>
    <t>5. Hoja "CONTROL DE HOROMETRO"</t>
  </si>
  <si>
    <t>Control de horómetros de maquinaria con lecturas de inicio, fin y horas totales acumuladas.</t>
  </si>
  <si>
    <t>DATOS GENERALES Y CONTRACTUALES DEL PROYECTO</t>
  </si>
  <si>
    <t>Campo / Parámetro</t>
  </si>
  <si>
    <t>Valor Registrado</t>
  </si>
  <si>
    <t>Descripción / Formato</t>
  </si>
  <si>
    <t>Codigo</t>
  </si>
  <si>
    <t>OBRA-2026-VALLE</t>
  </si>
  <si>
    <t>Código interno único del proyecto o número de contrato</t>
  </si>
  <si>
    <t>Nombre del Proyecto</t>
  </si>
  <si>
    <t>REHABILITACIÓN DE LA VÍA VALLE DE LA VIRGEN – LÍMITE PROVINCIAL Y LAS MURAS</t>
  </si>
  <si>
    <t>Nombre completo de la obra según contrato</t>
  </si>
  <si>
    <t>Contratista</t>
  </si>
  <si>
    <t>CONSORCIO VALLE DE LA VIRGEN</t>
  </si>
  <si>
    <t>Razón social del contratista adjudicado</t>
  </si>
  <si>
    <t>Cliente / Contratante</t>
  </si>
  <si>
    <t>GAD PROVINCIAL DEL GUAYAS (PREFECTURA DEL GUAYAS)</t>
  </si>
  <si>
    <t>Entidad contratante</t>
  </si>
  <si>
    <t>Fiscalizadora</t>
  </si>
  <si>
    <t>ASOCIACION C-D</t>
  </si>
  <si>
    <t>Empresa o consorcio fiscalizador</t>
  </si>
  <si>
    <t>Empresa Ejecutora</t>
  </si>
  <si>
    <t>LICOSA, Licitaciones y Contratos S.A.</t>
  </si>
  <si>
    <t>Empresa encargada de la ejecución de frente</t>
  </si>
  <si>
    <t>Numero de Contrato</t>
  </si>
  <si>
    <t>EC-PREFGUAYAS-527225-CW-RFB</t>
  </si>
  <si>
    <t>Número oficial del contrato de obra</t>
  </si>
  <si>
    <t>Fuente de Financiamiento</t>
  </si>
  <si>
    <t>BIRF 9722-EC (Banco Mundial)</t>
  </si>
  <si>
    <t>Organismo o entidad financiera</t>
  </si>
  <si>
    <t>Tramo / Ubicacion</t>
  </si>
  <si>
    <t>Pedro Carbo - Colimes (km 0+000 al km 28+500)</t>
  </si>
  <si>
    <t>Ubicación física y tramo del proyecto</t>
  </si>
  <si>
    <t>Monto Contractual ($)</t>
  </si>
  <si>
    <t>Monto total adjudicado sin IVA</t>
  </si>
  <si>
    <t>Plazo en Dias</t>
  </si>
  <si>
    <t>Plazo contractual de ejecución en días calendario</t>
  </si>
  <si>
    <t>Fecha de Inicio</t>
  </si>
  <si>
    <t>2026-06-29</t>
  </si>
  <si>
    <t>Fecha de inicio oficial de la obra (YYYY-MM-DD)</t>
  </si>
  <si>
    <t>Estado</t>
  </si>
  <si>
    <t>EN_EJECUCION</t>
  </si>
  <si>
    <t>EN_EJECUCION | SUSPENDIDO | FINALIZADO</t>
  </si>
  <si>
    <t>CONTROL DE RUBROS – FRENTE LICOSA (PRESUPUESTO CONTRACTUAL)</t>
  </si>
  <si>
    <t>N°</t>
  </si>
  <si>
    <t>DESCRIPCIÓN</t>
  </si>
  <si>
    <t>Unid.</t>
  </si>
  <si>
    <t>P.U. ($)</t>
  </si>
  <si>
    <t>Cant. asignada LICOSA</t>
  </si>
  <si>
    <t>Monto asignado LICOSA ($)</t>
  </si>
  <si>
    <t>Tipo de Rubro</t>
  </si>
  <si>
    <t>REPLANTEO Y TRAZADO</t>
  </si>
  <si>
    <t>m2</t>
  </si>
  <si>
    <t>Secundario</t>
  </si>
  <si>
    <t>DESBROCE, DESBOSQUE Y LIMPIEZA</t>
  </si>
  <si>
    <t>Ha</t>
  </si>
  <si>
    <t>EXCAVACIÓN (excavadora)</t>
  </si>
  <si>
    <t>m3</t>
  </si>
  <si>
    <t>Principal</t>
  </si>
  <si>
    <t>DESALOJO MATERIAL DE EXCAVACIÓN (distancia hasta 10 km)</t>
  </si>
  <si>
    <t>MATERIAL DE PRÉSTAMO IMPORTADO (*)</t>
  </si>
  <si>
    <t>MEJORAMIENTO DE SUBRASANTE CON SUELO SELECCIONADO</t>
  </si>
  <si>
    <t>SUB-BASE DE AGREGADOS CLASE 3 (e=20cm)</t>
  </si>
  <si>
    <t>BASE GRANULAR TRITURADA CLASE 1 (e=15cm)</t>
  </si>
  <si>
    <t>CARPETA DE HORMIGÓN ASFÁLTICO EN CALIENTE (e=7.5cm)</t>
  </si>
  <si>
    <t>ALCANTARILLAS TUBULARES DE H.A. D=1200mm</t>
  </si>
  <si>
    <t>m</t>
  </si>
  <si>
    <t>AGUA PARA CONTROL DE POLVO</t>
  </si>
  <si>
    <t>BITÁCORA DE REGISTRO DIARIO DE EJECUCIÓN (AVANCES VOLUMÉTRICOS DE OBRA)</t>
  </si>
  <si>
    <t>Fecha</t>
  </si>
  <si>
    <t>N° Rubro</t>
  </si>
  <si>
    <t>Descripción</t>
  </si>
  <si>
    <t>Cant. ejecutada</t>
  </si>
  <si>
    <t>Monto ejec. ($)</t>
  </si>
  <si>
    <t>SENTIDO</t>
  </si>
  <si>
    <t>DESDE</t>
  </si>
  <si>
    <t>HASTA</t>
  </si>
  <si>
    <t>LONGITUD (M)</t>
  </si>
  <si>
    <t>VOLUMEN (M3)</t>
  </si>
  <si>
    <t>AMBOS</t>
  </si>
  <si>
    <t>DER</t>
  </si>
  <si>
    <t>EJE</t>
  </si>
  <si>
    <t>CONTROL DE HORÓMETRO DE MAQUINARIA PESADA</t>
  </si>
  <si>
    <t>EQUIPO</t>
  </si>
  <si>
    <t>FECHA</t>
  </si>
  <si>
    <t>INICIO</t>
  </si>
  <si>
    <t>FIN</t>
  </si>
  <si>
    <t>TOTAL DE HORAS</t>
  </si>
  <si>
    <t>UBICACIÓN / TRAMO</t>
  </si>
  <si>
    <t>OBSERVACIONES</t>
  </si>
  <si>
    <t>EXC-09</t>
  </si>
  <si>
    <t>km 0+000 - 0+080</t>
  </si>
  <si>
    <t>Excavación y carga a volquetas</t>
  </si>
  <si>
    <t>TRACTOR-09</t>
  </si>
  <si>
    <t>km 0+080 - 0+260</t>
  </si>
  <si>
    <t>Desbroce y limpieza</t>
  </si>
  <si>
    <t>RL-06</t>
  </si>
  <si>
    <t>Sellado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</si>
</sst>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#,##0.0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1B365D"/>
      <sz val="10"/>
      <name val="Calibri"/>
    </font>
    <font>
      <b/>
    </font>
    <font>
      <b/>
      <color rgb="FFFFFFFF"/>
      <sz val="9.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D9E1F2"/>
      </patternFill>
    </fill>
    <fill>
      <patternFill patternType="solid">
        <fgColor rgb="FF2F559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4" fillId="4" borderId="2" xfId="0" applyFont="1" applyFill="1" applyBorder="1" applyAlignment="1">
      <alignment horizontal="center" vertical="center" wrapText="1"/>
    </xf>
    <xf numFmtId="0" fontId="0" fillId="5" borderId="1" xfId="0" applyFill="1" applyBorder="1"/>
    <xf numFmtId="164" fontId="0" fillId="5" borderId="1" xfId="0" applyNumberFormat="1" applyFill="1" applyBorder="1"/>
    <xf numFmtId="3" fontId="0" fillId="5" borderId="1" xfId="0" applyNumberFormat="1" applyFill="1" applyBorder="1"/>
    <xf numFmtId="0" fontId="0" fillId="0" borderId="1" xfId="0" applyBorder="1" applyAlignment="1">
      <alignment horizontal="center"/>
    </xf>
    <xf numFmtId="4" fontId="0" fillId="5" borderId="1" xfId="0" applyNumberFormat="1" applyFill="1" applyBorder="1"/>
    <xf numFmtId="164" fontId="0" fillId="0" borderId="1" xfId="0" applyNumberFormat="1" applyBorder="1"/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/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1" width="28" customWidth="1"/>
    <col min="2" max="2" width="75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4" ht="24" customHeight="1" spans="1:2" x14ac:dyDescent="0.25">
      <c r="A4" s="3" t="s">
        <v>2</v>
      </c>
      <c r="B4" s="4" t="s">
        <v>3</v>
      </c>
    </row>
    <row r="5" ht="24" customHeight="1" spans="1:2" x14ac:dyDescent="0.25">
      <c r="A5" s="3" t="s">
        <v>4</v>
      </c>
      <c r="B5" s="4" t="s">
        <v>5</v>
      </c>
    </row>
    <row r="6" ht="24" customHeight="1" spans="1:2" x14ac:dyDescent="0.25">
      <c r="A6" s="3" t="s">
        <v>6</v>
      </c>
      <c r="B6" s="4" t="s">
        <v>7</v>
      </c>
    </row>
    <row r="7" ht="24" customHeight="1" spans="1:2" x14ac:dyDescent="0.25">
      <c r="A7" s="3" t="s">
        <v>8</v>
      </c>
      <c r="B7" s="4" t="s">
        <v>9</v>
      </c>
    </row>
    <row r="8" ht="24" customHeight="1" spans="1:2" x14ac:dyDescent="0.25">
      <c r="A8" s="3" t="s">
        <v>10</v>
      </c>
      <c r="B8" s="4" t="s">
        <v>11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outlineLevelRow="0" outlineLevelCol="0" x14ac:dyDescent="55"/>
  <cols>
    <col min="1" max="1" width="32" customWidth="1"/>
    <col min="2" max="2" width="45" customWidth="1"/>
    <col min="3" max="3" width="40" customWidth="1"/>
  </cols>
  <sheetData>
    <row r="1" ht="28" customHeight="1" spans="1:3" x14ac:dyDescent="0.25">
      <c r="A1" s="1" t="s">
        <v>12</v>
      </c>
      <c r="B1" s="1"/>
      <c r="C1" s="1"/>
    </row>
    <row r="2" ht="22" customHeight="1" spans="1:3" x14ac:dyDescent="0.25">
      <c r="A2" s="5" t="s">
        <v>13</v>
      </c>
      <c r="B2" s="5" t="s">
        <v>14</v>
      </c>
      <c r="C2" s="5" t="s">
        <v>15</v>
      </c>
    </row>
    <row r="3" ht="20" customHeight="1" spans="1:3" x14ac:dyDescent="0.25">
      <c r="A3" s="3" t="s">
        <v>16</v>
      </c>
      <c r="B3" s="6" t="s">
        <v>17</v>
      </c>
      <c r="C3" s="4" t="s">
        <v>18</v>
      </c>
    </row>
    <row r="4" ht="20" customHeight="1" spans="1:3" x14ac:dyDescent="0.25">
      <c r="A4" s="3" t="s">
        <v>19</v>
      </c>
      <c r="B4" s="6" t="s">
        <v>20</v>
      </c>
      <c r="C4" s="4" t="s">
        <v>21</v>
      </c>
    </row>
    <row r="5" ht="20" customHeight="1" spans="1:3" x14ac:dyDescent="0.25">
      <c r="A5" s="3" t="s">
        <v>22</v>
      </c>
      <c r="B5" s="6" t="s">
        <v>23</v>
      </c>
      <c r="C5" s="4" t="s">
        <v>24</v>
      </c>
    </row>
    <row r="6" ht="20" customHeight="1" spans="1:3" x14ac:dyDescent="0.25">
      <c r="A6" s="3" t="s">
        <v>25</v>
      </c>
      <c r="B6" s="6" t="s">
        <v>26</v>
      </c>
      <c r="C6" s="4" t="s">
        <v>27</v>
      </c>
    </row>
    <row r="7" ht="20" customHeight="1" spans="1:3" x14ac:dyDescent="0.25">
      <c r="A7" s="3" t="s">
        <v>28</v>
      </c>
      <c r="B7" s="6" t="s">
        <v>29</v>
      </c>
      <c r="C7" s="4" t="s">
        <v>30</v>
      </c>
    </row>
    <row r="8" ht="20" customHeight="1" spans="1:3" x14ac:dyDescent="0.25">
      <c r="A8" s="3" t="s">
        <v>31</v>
      </c>
      <c r="B8" s="6" t="s">
        <v>32</v>
      </c>
      <c r="C8" s="4" t="s">
        <v>33</v>
      </c>
    </row>
    <row r="9" ht="20" customHeight="1" spans="1:3" x14ac:dyDescent="0.25">
      <c r="A9" s="3" t="s">
        <v>34</v>
      </c>
      <c r="B9" s="6" t="s">
        <v>35</v>
      </c>
      <c r="C9" s="4" t="s">
        <v>36</v>
      </c>
    </row>
    <row r="10" ht="20" customHeight="1" spans="1:3" x14ac:dyDescent="0.25">
      <c r="A10" s="3" t="s">
        <v>37</v>
      </c>
      <c r="B10" s="6" t="s">
        <v>38</v>
      </c>
      <c r="C10" s="4" t="s">
        <v>39</v>
      </c>
    </row>
    <row r="11" ht="20" customHeight="1" spans="1:3" x14ac:dyDescent="0.25">
      <c r="A11" s="3" t="s">
        <v>40</v>
      </c>
      <c r="B11" s="6" t="s">
        <v>41</v>
      </c>
      <c r="C11" s="4" t="s">
        <v>42</v>
      </c>
    </row>
    <row r="12" ht="20" customHeight="1" spans="1:3" x14ac:dyDescent="0.25">
      <c r="A12" s="3" t="s">
        <v>43</v>
      </c>
      <c r="B12" s="7">
        <v>5939620.3</v>
      </c>
      <c r="C12" s="4" t="s">
        <v>44</v>
      </c>
    </row>
    <row r="13" ht="20" customHeight="1" spans="1:3" x14ac:dyDescent="0.25">
      <c r="A13" s="3" t="s">
        <v>45</v>
      </c>
      <c r="B13" s="8">
        <v>240</v>
      </c>
      <c r="C13" s="4" t="s">
        <v>46</v>
      </c>
    </row>
    <row r="14" ht="20" customHeight="1" spans="1:3" x14ac:dyDescent="0.25">
      <c r="A14" s="3" t="s">
        <v>47</v>
      </c>
      <c r="B14" s="6" t="s">
        <v>48</v>
      </c>
      <c r="C14" s="4" t="s">
        <v>49</v>
      </c>
    </row>
    <row r="15" ht="20" customHeight="1" spans="1:3" x14ac:dyDescent="0.25">
      <c r="A15" s="3" t="s">
        <v>50</v>
      </c>
      <c r="B15" s="6" t="s">
        <v>51</v>
      </c>
      <c r="C15" s="4" t="s">
        <v>52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outlineLevelRow="0" outlineLevelCol="0" x14ac:dyDescent="55"/>
  <cols>
    <col min="1" max="1" width="10" customWidth="1"/>
    <col min="2" max="2" width="52" customWidth="1"/>
    <col min="3" max="3" width="10" customWidth="1"/>
    <col min="4" max="4" width="14" customWidth="1"/>
    <col min="5" max="5" width="16" customWidth="1"/>
    <col min="6" max="6" width="18" customWidth="1"/>
    <col min="7" max="7" width="14" customWidth="1"/>
  </cols>
  <sheetData>
    <row r="1" ht="28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22" customHeight="1" spans="1:7" x14ac:dyDescent="0.25">
      <c r="A2" s="5" t="s">
        <v>54</v>
      </c>
      <c r="B2" s="5" t="s">
        <v>55</v>
      </c>
      <c r="C2" s="5" t="s">
        <v>56</v>
      </c>
      <c r="D2" s="5" t="s">
        <v>57</v>
      </c>
      <c r="E2" s="5" t="s">
        <v>58</v>
      </c>
      <c r="F2" s="5" t="s">
        <v>59</v>
      </c>
      <c r="G2" s="5" t="s">
        <v>60</v>
      </c>
    </row>
    <row r="3" ht="19" customHeight="1" spans="1:7" x14ac:dyDescent="0.25">
      <c r="A3" s="9">
        <v>1</v>
      </c>
      <c r="B3" s="4" t="s">
        <v>61</v>
      </c>
      <c r="C3" s="9" t="s">
        <v>62</v>
      </c>
      <c r="D3" s="7">
        <v>1.1</v>
      </c>
      <c r="E3" s="10">
        <v>68681.5</v>
      </c>
      <c r="F3" s="11">
        <f>D3*E3</f>
        <v>75549.65</v>
      </c>
      <c r="G3" s="9" t="s">
        <v>63</v>
      </c>
    </row>
    <row r="4" ht="19" customHeight="1" spans="1:7" x14ac:dyDescent="0.25">
      <c r="A4" s="9">
        <v>2</v>
      </c>
      <c r="B4" s="4" t="s">
        <v>64</v>
      </c>
      <c r="C4" s="9" t="s">
        <v>65</v>
      </c>
      <c r="D4" s="7">
        <v>493.2</v>
      </c>
      <c r="E4" s="10">
        <v>1.31</v>
      </c>
      <c r="F4" s="11">
        <f>D4*E4</f>
        <v>646.09</v>
      </c>
      <c r="G4" s="9" t="s">
        <v>63</v>
      </c>
    </row>
    <row r="5" ht="19" customHeight="1" spans="1:7" x14ac:dyDescent="0.25">
      <c r="A5" s="9">
        <v>6</v>
      </c>
      <c r="B5" s="4" t="s">
        <v>66</v>
      </c>
      <c r="C5" s="9" t="s">
        <v>67</v>
      </c>
      <c r="D5" s="7">
        <v>1.81</v>
      </c>
      <c r="E5" s="10">
        <v>45200</v>
      </c>
      <c r="F5" s="11">
        <f>D5*E5</f>
        <v>81812</v>
      </c>
      <c r="G5" s="9" t="s">
        <v>68</v>
      </c>
    </row>
    <row r="6" ht="19" customHeight="1" spans="1:7" x14ac:dyDescent="0.25">
      <c r="A6" s="9">
        <v>7</v>
      </c>
      <c r="B6" s="4" t="s">
        <v>69</v>
      </c>
      <c r="C6" s="9" t="s">
        <v>67</v>
      </c>
      <c r="D6" s="7">
        <v>3.07</v>
      </c>
      <c r="E6" s="10">
        <v>45200</v>
      </c>
      <c r="F6" s="11">
        <f>D6*E6</f>
        <v>138764</v>
      </c>
      <c r="G6" s="9" t="s">
        <v>68</v>
      </c>
    </row>
    <row r="7" ht="19" customHeight="1" spans="1:7" x14ac:dyDescent="0.25">
      <c r="A7" s="9">
        <v>8</v>
      </c>
      <c r="B7" s="4" t="s">
        <v>70</v>
      </c>
      <c r="C7" s="9" t="s">
        <v>67</v>
      </c>
      <c r="D7" s="7">
        <v>5.28</v>
      </c>
      <c r="E7" s="10">
        <v>125000</v>
      </c>
      <c r="F7" s="11">
        <f>D7*E7</f>
        <v>660000</v>
      </c>
      <c r="G7" s="9" t="s">
        <v>68</v>
      </c>
    </row>
    <row r="8" ht="19" customHeight="1" spans="1:7" x14ac:dyDescent="0.25">
      <c r="A8" s="9">
        <v>10</v>
      </c>
      <c r="B8" s="4" t="s">
        <v>71</v>
      </c>
      <c r="C8" s="9" t="s">
        <v>67</v>
      </c>
      <c r="D8" s="7">
        <v>8.45</v>
      </c>
      <c r="E8" s="10">
        <v>32000</v>
      </c>
      <c r="F8" s="11">
        <f>D8*E8</f>
        <v>270400</v>
      </c>
      <c r="G8" s="9" t="s">
        <v>68</v>
      </c>
    </row>
    <row r="9" ht="19" customHeight="1" spans="1:7" x14ac:dyDescent="0.25">
      <c r="A9" s="9">
        <v>11</v>
      </c>
      <c r="B9" s="4" t="s">
        <v>72</v>
      </c>
      <c r="C9" s="9" t="s">
        <v>67</v>
      </c>
      <c r="D9" s="7">
        <v>14.8</v>
      </c>
      <c r="E9" s="10">
        <v>24500</v>
      </c>
      <c r="F9" s="11">
        <f>D9*E9</f>
        <v>362600</v>
      </c>
      <c r="G9" s="9" t="s">
        <v>68</v>
      </c>
    </row>
    <row r="10" ht="19" customHeight="1" spans="1:7" x14ac:dyDescent="0.25">
      <c r="A10" s="9">
        <v>12</v>
      </c>
      <c r="B10" s="4" t="s">
        <v>73</v>
      </c>
      <c r="C10" s="9" t="s">
        <v>67</v>
      </c>
      <c r="D10" s="7">
        <v>19.5</v>
      </c>
      <c r="E10" s="10">
        <v>18400</v>
      </c>
      <c r="F10" s="11">
        <f>D10*E10</f>
        <v>358800</v>
      </c>
      <c r="G10" s="9" t="s">
        <v>68</v>
      </c>
    </row>
    <row r="11" ht="19" customHeight="1" spans="1:7" x14ac:dyDescent="0.25">
      <c r="A11" s="9">
        <v>14</v>
      </c>
      <c r="B11" s="4" t="s">
        <v>74</v>
      </c>
      <c r="C11" s="9" t="s">
        <v>62</v>
      </c>
      <c r="D11" s="7">
        <v>12.4</v>
      </c>
      <c r="E11" s="10">
        <v>92000</v>
      </c>
      <c r="F11" s="11">
        <f>D11*E11</f>
        <v>1140800</v>
      </c>
      <c r="G11" s="9" t="s">
        <v>68</v>
      </c>
    </row>
    <row r="12" ht="19" customHeight="1" spans="1:7" x14ac:dyDescent="0.25">
      <c r="A12" s="9">
        <v>15</v>
      </c>
      <c r="B12" s="4" t="s">
        <v>75</v>
      </c>
      <c r="C12" s="9" t="s">
        <v>76</v>
      </c>
      <c r="D12" s="7">
        <v>145</v>
      </c>
      <c r="E12" s="10">
        <v>350</v>
      </c>
      <c r="F12" s="11">
        <f>D12*E12</f>
        <v>50750</v>
      </c>
      <c r="G12" s="9" t="s">
        <v>68</v>
      </c>
    </row>
    <row r="13" ht="19" customHeight="1" spans="1:7" x14ac:dyDescent="0.25">
      <c r="A13" s="9">
        <v>20</v>
      </c>
      <c r="B13" s="4" t="s">
        <v>77</v>
      </c>
      <c r="C13" s="9" t="s">
        <v>67</v>
      </c>
      <c r="D13" s="7">
        <v>2.49</v>
      </c>
      <c r="E13" s="10">
        <v>15000</v>
      </c>
      <c r="F13" s="11">
        <f>D13*E13</f>
        <v>37350</v>
      </c>
      <c r="G13" s="9" t="s">
        <v>63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outlineLevelRow="0" outlineLevelCol="0" x14ac:dyDescent="55"/>
  <cols>
    <col min="1" max="1" width="14" customWidth="1"/>
    <col min="2" max="2" width="10" customWidth="1"/>
    <col min="3" max="3" width="44" customWidth="1"/>
    <col min="4" max="4" width="10" customWidth="1"/>
    <col min="5" max="5" width="12" customWidth="1"/>
    <col min="6" max="7" width="14" customWidth="1"/>
    <col min="8" max="11" width="12" customWidth="1"/>
    <col min="12" max="12" width="14" customWidth="1"/>
  </cols>
  <sheetData>
    <row r="1" ht="28" customHeight="1" spans="1:12" x14ac:dyDescent="0.25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5" t="s">
        <v>79</v>
      </c>
      <c r="B2" s="5" t="s">
        <v>80</v>
      </c>
      <c r="C2" s="5" t="s">
        <v>81</v>
      </c>
      <c r="D2" s="5" t="s">
        <v>56</v>
      </c>
      <c r="E2" s="5" t="s">
        <v>57</v>
      </c>
      <c r="F2" s="5" t="s">
        <v>82</v>
      </c>
      <c r="G2" s="5" t="s">
        <v>83</v>
      </c>
      <c r="H2" s="5" t="s">
        <v>84</v>
      </c>
      <c r="I2" s="5" t="s">
        <v>85</v>
      </c>
      <c r="J2" s="5" t="s">
        <v>86</v>
      </c>
      <c r="K2" s="5" t="s">
        <v>87</v>
      </c>
      <c r="L2" s="5" t="s">
        <v>88</v>
      </c>
    </row>
    <row r="3" ht="19" customHeight="1" spans="1:12" x14ac:dyDescent="0.25">
      <c r="A3" s="12" t="s">
        <v>48</v>
      </c>
      <c r="B3" s="12">
        <v>1</v>
      </c>
      <c r="C3" s="4" t="s">
        <v>61</v>
      </c>
      <c r="D3" s="9" t="s">
        <v>62</v>
      </c>
      <c r="E3" s="11">
        <v>1.1</v>
      </c>
      <c r="F3" s="10">
        <v>2912</v>
      </c>
      <c r="G3" s="11">
        <f>E3*F3</f>
        <v>3203.2</v>
      </c>
      <c r="H3" s="12" t="s">
        <v>89</v>
      </c>
      <c r="I3" s="12">
        <v>0</v>
      </c>
      <c r="J3" s="12">
        <v>260</v>
      </c>
      <c r="K3" s="12">
        <v>260</v>
      </c>
      <c r="L3" s="12">
        <v>2912</v>
      </c>
    </row>
    <row r="4" ht="19" customHeight="1" spans="1:12" x14ac:dyDescent="0.25">
      <c r="A4" s="12" t="s">
        <v>48</v>
      </c>
      <c r="B4" s="12">
        <v>2</v>
      </c>
      <c r="C4" s="4" t="s">
        <v>64</v>
      </c>
      <c r="D4" s="9" t="s">
        <v>65</v>
      </c>
      <c r="E4" s="11">
        <v>493.2</v>
      </c>
      <c r="F4" s="10">
        <v>0.054</v>
      </c>
      <c r="G4" s="11">
        <f>E4*F4</f>
        <v>26.63</v>
      </c>
      <c r="H4" s="12" t="s">
        <v>90</v>
      </c>
      <c r="I4" s="12">
        <v>80</v>
      </c>
      <c r="J4" s="12">
        <v>260</v>
      </c>
      <c r="K4" s="12">
        <v>180</v>
      </c>
      <c r="L4" s="12">
        <v>540</v>
      </c>
    </row>
    <row r="5" ht="19" customHeight="1" spans="1:12" x14ac:dyDescent="0.25">
      <c r="A5" s="12" t="s">
        <v>48</v>
      </c>
      <c r="B5" s="12">
        <v>6</v>
      </c>
      <c r="C5" s="4" t="s">
        <v>66</v>
      </c>
      <c r="D5" s="9" t="s">
        <v>67</v>
      </c>
      <c r="E5" s="11">
        <v>1.81</v>
      </c>
      <c r="F5" s="10">
        <v>484.61</v>
      </c>
      <c r="G5" s="11">
        <f>E5*F5</f>
        <v>877.14</v>
      </c>
      <c r="H5" s="12" t="s">
        <v>91</v>
      </c>
      <c r="I5" s="12">
        <v>0</v>
      </c>
      <c r="J5" s="12">
        <v>80</v>
      </c>
      <c r="K5" s="12">
        <v>80</v>
      </c>
      <c r="L5" s="12">
        <v>484.61</v>
      </c>
    </row>
    <row r="6" ht="19" customHeight="1" spans="1:12" x14ac:dyDescent="0.25">
      <c r="A6" s="12" t="s">
        <v>48</v>
      </c>
      <c r="B6" s="12">
        <v>20</v>
      </c>
      <c r="C6" s="4" t="s">
        <v>77</v>
      </c>
      <c r="D6" s="9" t="s">
        <v>67</v>
      </c>
      <c r="E6" s="11">
        <v>2.49</v>
      </c>
      <c r="F6" s="10">
        <v>20</v>
      </c>
      <c r="G6" s="11">
        <f>E6*F6</f>
        <v>49.8</v>
      </c>
      <c r="H6" s="12" t="s">
        <v>91</v>
      </c>
      <c r="I6" s="12">
        <v>0</v>
      </c>
      <c r="J6" s="12">
        <v>260</v>
      </c>
      <c r="K6" s="12">
        <v>260</v>
      </c>
      <c r="L6" s="12">
        <v>20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outlineLevelRow="0" outlineLevelCol="0" x14ac:dyDescent="55"/>
  <cols>
    <col min="1" max="1" width="16" customWidth="1"/>
    <col min="2" max="4" width="14" customWidth="1"/>
    <col min="5" max="5" width="16" customWidth="1"/>
    <col min="6" max="6" width="24" customWidth="1"/>
    <col min="7" max="7" width="36" customWidth="1"/>
  </cols>
  <sheetData>
    <row r="1" ht="28" customHeight="1" spans="1:7" x14ac:dyDescent="0.25">
      <c r="A1" s="1" t="s">
        <v>92</v>
      </c>
      <c r="B1" s="1"/>
      <c r="C1" s="1"/>
      <c r="D1" s="1"/>
      <c r="E1" s="1"/>
      <c r="F1" s="1"/>
      <c r="G1" s="1"/>
    </row>
    <row r="2" ht="22" customHeight="1" spans="1:7" x14ac:dyDescent="0.25">
      <c r="A2" s="5" t="s">
        <v>93</v>
      </c>
      <c r="B2" s="5" t="s">
        <v>94</v>
      </c>
      <c r="C2" s="5" t="s">
        <v>95</v>
      </c>
      <c r="D2" s="5" t="s">
        <v>96</v>
      </c>
      <c r="E2" s="5" t="s">
        <v>97</v>
      </c>
      <c r="F2" s="5" t="s">
        <v>98</v>
      </c>
      <c r="G2" s="5" t="s">
        <v>99</v>
      </c>
    </row>
    <row r="3" ht="19" customHeight="1" spans="1:7" x14ac:dyDescent="0.25">
      <c r="A3" s="12" t="s">
        <v>100</v>
      </c>
      <c r="B3" s="12" t="s">
        <v>48</v>
      </c>
      <c r="C3" s="13">
        <v>13931.9</v>
      </c>
      <c r="D3" s="13">
        <v>13939.9</v>
      </c>
      <c r="E3" s="14">
        <f>D3-C3</f>
        <v>8</v>
      </c>
      <c r="F3" s="6" t="s">
        <v>101</v>
      </c>
      <c r="G3" s="6" t="s">
        <v>102</v>
      </c>
    </row>
    <row r="4" ht="19" customHeight="1" spans="1:7" x14ac:dyDescent="0.25">
      <c r="A4" s="12" t="s">
        <v>103</v>
      </c>
      <c r="B4" s="12" t="s">
        <v>48</v>
      </c>
      <c r="C4" s="13">
        <v>1577.7</v>
      </c>
      <c r="D4" s="13">
        <v>1585.7</v>
      </c>
      <c r="E4" s="14">
        <f>D4-C4</f>
        <v>8</v>
      </c>
      <c r="F4" s="6" t="s">
        <v>104</v>
      </c>
      <c r="G4" s="6" t="s">
        <v>105</v>
      </c>
    </row>
    <row r="5" ht="19" customHeight="1" spans="1:7" x14ac:dyDescent="0.25">
      <c r="A5" s="12" t="s">
        <v>106</v>
      </c>
      <c r="B5" s="12" t="s">
        <v>48</v>
      </c>
      <c r="C5" s="13">
        <v>8479.1</v>
      </c>
      <c r="D5" s="13">
        <v>8481.1</v>
      </c>
      <c r="E5" s="14">
        <f>D5-C5</f>
        <v>2</v>
      </c>
      <c r="F5" s="6" t="s">
        <v>101</v>
      </c>
      <c r="G5" s="6" t="s">
        <v>107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PROYECTO</vt:lpstr>
      <vt:lpstr>Rubros</vt:lpstr>
      <vt:lpstr>Registro Diario</vt:lpstr>
      <vt:lpstr>CONTROL DE HOROMETRO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LICOSA Automatización</dc:creator>
  <dc:title/>
  <dc:subject/>
  <dc:description/>
  <cp:keywords/>
  <cp:category/>
  <cp:lastModifiedBy>Unknown</cp:lastModifiedBy>
  <dcterms:created xsi:type="dcterms:W3CDTF">2026-10-15T19:40:24Z</dcterms:created>
  <dcterms:modified xsi:type="dcterms:W3CDTF">2026-10-15T19:40:24Z</dcterms:modified>
</cp:coreProperties>
</file>