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_RDO" state="visible" r:id="rId4"/>
    <sheet sheetId="2" name="RDO" state="visible" r:id="rId5"/>
  </sheets>
  <calcPr calcId="171027"/>
</workbook>
</file>

<file path=xl/sharedStrings.xml><?xml version="1.0" encoding="utf-8"?>
<sst xmlns="http://schemas.openxmlformats.org/spreadsheetml/2006/main" count="143" uniqueCount="123">
  <si>
    <t>GUÍA DE LLENADO DE REPORTE DIARIO DE OBRA (RDO)</t>
  </si>
  <si>
    <t>1. CÓDIGO DE COLORES</t>
  </si>
  <si>
    <t>🟡 CELDAS AMARILLAS</t>
  </si>
  <si>
    <t>Edite aquí la fecha, horas de maquinaria, personal y volúmenes ejecutados en el día.</t>
  </si>
  <si>
    <t>🟢 CELDAS VERDES</t>
  </si>
  <si>
    <t>Fórmulas automáticas de totales y montos calculados. No modificarlas.</t>
  </si>
  <si>
    <t>🔵 ENCABEZADOS AZULES</t>
  </si>
  <si>
    <t>Estructura oficial LICOSA compatible con la sincronización por Excel.</t>
  </si>
  <si>
    <t>REPORTE DIARIO DE OBRA (RDO)</t>
  </si>
  <si>
    <t>REHABILITACIÓN Y MEJORAMIENTO VIAL VALLE DE LA VIRGEN – LÍMITE PROVINCIAL</t>
  </si>
  <si>
    <t>CONTRATISTA: LICOSA S.A.</t>
  </si>
  <si>
    <t>CONTRATANTE: GAD PROVINCIAL DEL GUAYAS</t>
  </si>
  <si>
    <t>FISCALIZACIÓN: ASOCIACIÓN CONSULTORA VIAL</t>
  </si>
  <si>
    <t>EMPRESA EJECUTORA: LICOSA</t>
  </si>
  <si>
    <t>CONTRATO N°: LIC-GADG-2024-019-OB</t>
  </si>
  <si>
    <t>FINANCIAMIENTO: FONDOS FISCALES GADG</t>
  </si>
  <si>
    <t>FECHA:</t>
  </si>
  <si>
    <t>2024-03-15</t>
  </si>
  <si>
    <t>REPORTE N°:</t>
  </si>
  <si>
    <t>TRAMO:</t>
  </si>
  <si>
    <t>Tramo 1: Km 0+000 al Km 14+800</t>
  </si>
  <si>
    <t>MONTO DE TRABAJOS EJECUTADOS</t>
  </si>
  <si>
    <t>% AVANCE</t>
  </si>
  <si>
    <t>DÍAS TRANSCURRIDOS / PLAZO:</t>
  </si>
  <si>
    <t>33 / 180 días calendario</t>
  </si>
  <si>
    <t>1. REPORTE DE CLIMA Y EHS (SEGURIDAD, SALUD Y AMBIENTE)</t>
  </si>
  <si>
    <t>Horas de lluvia (día)</t>
  </si>
  <si>
    <t>Tiempo charla diaria (min)</t>
  </si>
  <si>
    <t>Horas de lluvia (noche)</t>
  </si>
  <si>
    <t>Tiempo charla acum. (min)</t>
  </si>
  <si>
    <t>Horas perdidas por lluvia</t>
  </si>
  <si>
    <t>Incidentes (día / acum.)</t>
  </si>
  <si>
    <t>0 / 0</t>
  </si>
  <si>
    <t>Horas perdidas acum. por lluvia</t>
  </si>
  <si>
    <t>Accidentes (día / acum.)</t>
  </si>
  <si>
    <t>2. REPORTE DE EQUIPO Y MAQUINARIA</t>
  </si>
  <si>
    <t>3. REPORTE DE PERSONAL EN OBRA</t>
  </si>
  <si>
    <t>Descripción del equipo</t>
  </si>
  <si>
    <t>Código / Serie</t>
  </si>
  <si>
    <t>Unidad</t>
  </si>
  <si>
    <t>Cant.</t>
  </si>
  <si>
    <t>Valor/h ($)</t>
  </si>
  <si>
    <t>Horas día</t>
  </si>
  <si>
    <t>Categoría / Cargo</t>
  </si>
  <si>
    <t>Turno</t>
  </si>
  <si>
    <t>Cantidad</t>
  </si>
  <si>
    <t>H-H Día</t>
  </si>
  <si>
    <t>EXCAVADORA EX-09</t>
  </si>
  <si>
    <t>EX09</t>
  </si>
  <si>
    <t>hora</t>
  </si>
  <si>
    <t>Ingeniero Residente</t>
  </si>
  <si>
    <t>Diurno</t>
  </si>
  <si>
    <t>RODILLO RL-15</t>
  </si>
  <si>
    <t>RL15</t>
  </si>
  <si>
    <t>Planilladora / Control</t>
  </si>
  <si>
    <t>TRACTOR TR-09</t>
  </si>
  <si>
    <t>TR09</t>
  </si>
  <si>
    <t>Topógrafo</t>
  </si>
  <si>
    <t>TRACTO MULAS</t>
  </si>
  <si>
    <t>TM01</t>
  </si>
  <si>
    <t>unidad</t>
  </si>
  <si>
    <t>Cadeneros</t>
  </si>
  <si>
    <t>MULA VQ-12</t>
  </si>
  <si>
    <t>VQ12</t>
  </si>
  <si>
    <t>Operador Excavadora</t>
  </si>
  <si>
    <t>TRACTOR TR-08</t>
  </si>
  <si>
    <t>TR08</t>
  </si>
  <si>
    <t>Operador Rodillo</t>
  </si>
  <si>
    <t>VOLQUETAS HINO (14m3)</t>
  </si>
  <si>
    <t>VQ-FLOTA</t>
  </si>
  <si>
    <t>Choferes Volquetas</t>
  </si>
  <si>
    <t>TANQUERO DE AGUA</t>
  </si>
  <si>
    <t>TQ01</t>
  </si>
  <si>
    <t>Ayudantes / Cuadrilla</t>
  </si>
  <si>
    <t>4. RUBROS DE OBRA EJECUTADOS EN EL DÍA</t>
  </si>
  <si>
    <t>N° Rubro</t>
  </si>
  <si>
    <t>Descripción del Rubro</t>
  </si>
  <si>
    <t>Unid.</t>
  </si>
  <si>
    <t>P.U. ($)</t>
  </si>
  <si>
    <t>Cant. Día</t>
  </si>
  <si>
    <t>Monto Día ($)</t>
  </si>
  <si>
    <t>Tramo / Abscisado</t>
  </si>
  <si>
    <t>Sentido</t>
  </si>
  <si>
    <t>Desde (m)</t>
  </si>
  <si>
    <t>Hasta (m)</t>
  </si>
  <si>
    <t>EXCAVACIÓN SIN CLASIFICAR CON MAQUINARIA</t>
  </si>
  <si>
    <t>m3</t>
  </si>
  <si>
    <t>Km 2+400 al 2+900</t>
  </si>
  <si>
    <t>L/D</t>
  </si>
  <si>
    <t>DESALOJO DE MATERIAL DE EXCAVACIÓN (HASTA 10 KM)</t>
  </si>
  <si>
    <t>Km 2+400 al Botadero</t>
  </si>
  <si>
    <t>L/I</t>
  </si>
  <si>
    <t>MEJORAMIENTO CON MATERIAL DE PRÉSTAMO IMPORTADO</t>
  </si>
  <si>
    <t>Km 3+100 al 3+400</t>
  </si>
  <si>
    <t>Eje</t>
  </si>
  <si>
    <t>TRANSPORTE DE MATERIAL DE PRÉSTAMO (ACARREO 30-65 KM)</t>
  </si>
  <si>
    <t>m3-km</t>
  </si>
  <si>
    <t>Ruta Mina - Obra</t>
  </si>
  <si>
    <t>SUB-BASE CLASE 1 COMPACTADA</t>
  </si>
  <si>
    <t>Km 1+200 al 1+450</t>
  </si>
  <si>
    <t>IMPRIMACIÓN ASFÁLTICA CON ASFALTO RC-250</t>
  </si>
  <si>
    <t>m2</t>
  </si>
  <si>
    <t>Km 0+800 al 1+200</t>
  </si>
  <si>
    <t>ALCANTARILLAS TUBULARES DE H.A. D=1200 MM</t>
  </si>
  <si>
    <t>m</t>
  </si>
  <si>
    <t>Abscisa Km 2+150</t>
  </si>
  <si>
    <t>Transversal</t>
  </si>
  <si>
    <t>SUBTOTAL MONTO DE TRABAJOS EJECUTADOS DEL DÍA:</t>
  </si>
  <si>
    <t>5. RESUMEN DE ACTIVIDADES REALIZADAS HOY</t>
  </si>
  <si>
    <t>VIAL / MOV. TIERRAS</t>
  </si>
  <si>
    <t>Excavación sin clasificar, acarreo y desalojo continuo de material inadecuado hacia botadero.</t>
  </si>
  <si>
    <t>ESTRUCTURA DE PAVIMENTO</t>
  </si>
  <si>
    <t>Tendido, hidratación y compactación de capa de sub-base clase 1 entre Km 1+200 y 1+450.</t>
  </si>
  <si>
    <t>DRENAJE</t>
  </si>
  <si>
    <t>Instalación de tubería de hormigón armado D=1200mm y excavación para cabezal de descarga.</t>
  </si>
  <si>
    <t>TOPOGRAFÍA</t>
  </si>
  <si>
    <t>Control de rasante, niveles de sub-base y replanteo de abscisas para tramo siguiente.</t>
  </si>
  <si>
    <t>AMBIENTAL Y SOCIAL</t>
  </si>
  <si>
    <t>Riego con tanquero en frentes de poblados para mitigación de partículas de polvo.</t>
  </si>
  <si>
    <t>6. ACTIVIDADES PLANIFICADAS PARA MAÑANA</t>
  </si>
  <si>
    <t>Continuación de colocación de material de préstamo importado y desalojo. Imprimación asfáltica en tramo preparado.</t>
  </si>
  <si>
    <t xml:space="preserve">ELABORADO POR:
Ing. María Fernanda Ligua
Ingeniera de Planillas / Residente LICOSA</t>
  </si>
  <si>
    <t xml:space="preserve">REVISADO Y APROBADO:
Ing. Jerson López
Fiscalizador de Obra - ASOCIACIÓN C-D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</si>
</sst>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2" x14ac:knownFonts="1">
    <font>
      <color theme="1"/>
      <family val="2"/>
      <scheme val="minor"/>
      <sz val="11"/>
      <name val="Calibri"/>
    </font>
    <font>
      <b/>
      <color rgb="FFFFFFFF"/>
      <sz val="13"/>
      <name val="Segoe UI"/>
    </font>
    <font>
      <b/>
      <color rgb="FF1E293B"/>
      <sz val="11"/>
      <name val="Segoe UI"/>
    </font>
    <font>
      <b/>
      <color rgb="FF92400E"/>
      <sz val="10"/>
      <name val="Segoe UI"/>
    </font>
    <font>
      <color rgb="FF334155"/>
      <sz val="10"/>
      <name val="Segoe UI"/>
    </font>
    <font>
      <b/>
      <color rgb="FF065F46"/>
      <sz val="10"/>
      <name val="Segoe UI"/>
    </font>
    <font>
      <b/>
      <color rgb="FFFFFFFF"/>
      <sz val="10"/>
      <name val="Segoe UI"/>
    </font>
    <font>
      <b/>
      <color rgb="FFFFFFFF"/>
      <sz val="14"/>
      <name val="Segoe UI"/>
    </font>
    <font>
      <b/>
      <color rgb="FF94A3B8"/>
      <sz val="10"/>
      <name val="Segoe UI"/>
    </font>
    <font>
      <b/>
      <color rgb="FF334155"/>
      <sz val="9"/>
      <name val="Segoe UI"/>
    </font>
    <font>
      <color rgb="FF475569"/>
      <sz val="9"/>
      <name val="Segoe UI"/>
    </font>
    <font>
      <b/>
      <color rgb="FFFFFFFF"/>
      <sz val="9"/>
      <name val="Segoe UI"/>
    </font>
    <font>
      <b/>
      <color rgb="FF0F172A"/>
      <sz val="10"/>
      <name val="Segoe UI"/>
    </font>
    <font>
      <b/>
      <color rgb="FF0F172A"/>
      <sz val="11"/>
      <name val="Segoe UI"/>
    </font>
    <font>
      <b/>
      <color rgb="FF0F172A"/>
      <sz val="9"/>
      <name val="Segoe UI"/>
    </font>
    <font>
      <b/>
      <color rgb="FF065F46"/>
      <sz val="11"/>
      <name val="Segoe UI"/>
    </font>
    <font>
      <b/>
      <color rgb="FFFFFFFF"/>
      <sz val="8.5"/>
      <name val="Segoe UI"/>
    </font>
    <font>
      <color rgb="FF0F172A"/>
      <sz val="9"/>
      <name val="Segoe UI"/>
    </font>
    <font>
      <b/>
      <color rgb="FF065F46"/>
      <sz val="9"/>
      <name val="Segoe UI"/>
    </font>
    <font>
      <color rgb="FF334155"/>
      <sz val="8.5"/>
      <name val="Segoe UI"/>
    </font>
    <font>
      <b/>
      <color rgb="FFFFFFFF"/>
      <sz val="11"/>
      <name val="Segoe UI"/>
    </font>
    <font>
      <color rgb="FF0F172A"/>
      <sz val="9.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1E293B"/>
      </patternFill>
    </fill>
    <fill>
      <patternFill patternType="solid">
        <fgColor rgb="FF334155"/>
      </patternFill>
    </fill>
    <fill>
      <patternFill patternType="solid">
        <fgColor rgb="FFF8FAFC"/>
      </patternFill>
    </fill>
    <fill>
      <patternFill patternType="solid">
        <fgColor rgb="FF047857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1" xfId="0" applyFont="1" applyBorder="1"/>
    <xf numFmtId="0" fontId="10" fillId="0" borderId="1" xfId="0" applyFont="1" applyBorder="1"/>
    <xf numFmtId="0" fontId="11" fillId="5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left" vertical="center"/>
    </xf>
    <xf numFmtId="164" fontId="15" fillId="4" borderId="1" xfId="0" applyNumberFormat="1" applyFont="1" applyFill="1" applyBorder="1" applyAlignment="1">
      <alignment horizontal="right" vertical="center"/>
    </xf>
    <xf numFmtId="0" fontId="11" fillId="2" borderId="1" xfId="0" applyFont="1" applyFill="1" applyBorder="1" applyAlignment="1">
      <alignment horizontal="center" vertical="center"/>
    </xf>
    <xf numFmtId="10" fontId="5" fillId="4" borderId="1" xfId="0" applyNumberFormat="1" applyFont="1" applyFill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0" fontId="6" fillId="5" borderId="0" xfId="0" applyFont="1" applyFill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left" vertical="center"/>
    </xf>
    <xf numFmtId="0" fontId="16" fillId="2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left" vertical="center"/>
    </xf>
    <xf numFmtId="0" fontId="17" fillId="7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7" fillId="3" borderId="1" xfId="0" applyNumberFormat="1" applyFont="1" applyFill="1" applyBorder="1" applyAlignment="1">
      <alignment horizontal="right" vertical="center"/>
    </xf>
    <xf numFmtId="0" fontId="17" fillId="3" borderId="1" xfId="0" applyFont="1" applyFill="1" applyBorder="1" applyAlignment="1">
      <alignment horizontal="right" vertical="center"/>
    </xf>
    <xf numFmtId="0" fontId="16" fillId="2" borderId="1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horizontal="right" vertical="center"/>
    </xf>
    <xf numFmtId="0" fontId="9" fillId="7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4" fontId="17" fillId="3" borderId="1" xfId="0" applyNumberFormat="1" applyFont="1" applyFill="1" applyBorder="1" applyAlignment="1">
      <alignment horizontal="right" vertical="center"/>
    </xf>
    <xf numFmtId="164" fontId="18" fillId="4" borderId="1" xfId="0" applyNumberFormat="1" applyFont="1" applyFill="1" applyBorder="1" applyAlignment="1">
      <alignment horizontal="right" vertical="center"/>
    </xf>
    <xf numFmtId="0" fontId="19" fillId="3" borderId="1" xfId="0" applyFont="1" applyFill="1" applyBorder="1" applyAlignment="1">
      <alignment horizontal="left" vertical="center"/>
    </xf>
    <xf numFmtId="0" fontId="19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right" vertical="center"/>
    </xf>
    <xf numFmtId="0" fontId="6" fillId="2" borderId="0" xfId="0" applyFont="1" applyFill="1" applyAlignment="1">
      <alignment horizontal="right" vertical="center"/>
    </xf>
    <xf numFmtId="164" fontId="20" fillId="8" borderId="0" xfId="0" applyNumberFormat="1" applyFont="1" applyFill="1" applyAlignment="1">
      <alignment horizontal="right" vertical="center"/>
    </xf>
    <xf numFmtId="0" fontId="0" fillId="2" borderId="0" xfId="0" applyFill="1"/>
    <xf numFmtId="0" fontId="9" fillId="7" borderId="1" xfId="0" applyFont="1" applyFill="1" applyBorder="1" applyAlignment="1">
      <alignment horizontal="left" vertical="center"/>
    </xf>
    <xf numFmtId="0" fontId="21" fillId="3" borderId="1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7"/>
  <sheetViews>
    <sheetView workbookViewId="0"/>
  </sheetViews>
  <sheetFormatPr defaultRowHeight="15" outlineLevelRow="0" outlineLevelCol="0" x14ac:dyDescent="55"/>
  <cols>
    <col min="1" max="1" width="4" customWidth="1"/>
    <col min="2" max="2" width="30" customWidth="1"/>
    <col min="3" max="3" width="55" customWidth="1"/>
    <col min="4" max="4" width="30" customWidth="1"/>
  </cols>
  <sheetData>
    <row r="2" ht="36" customHeight="1" spans="2:4" x14ac:dyDescent="0.25">
      <c r="B2" s="1" t="s">
        <v>0</v>
      </c>
      <c r="C2" s="1"/>
      <c r="D2" s="1"/>
    </row>
    <row r="4" spans="2:4" x14ac:dyDescent="0.25">
      <c r="B4" s="2" t="s">
        <v>1</v>
      </c>
      <c r="C4" s="2"/>
      <c r="D4" s="2"/>
    </row>
    <row r="5" ht="28" customHeight="1" spans="2:4" x14ac:dyDescent="0.25">
      <c r="B5" s="3" t="s">
        <v>2</v>
      </c>
      <c r="C5" s="4" t="s">
        <v>3</v>
      </c>
      <c r="D5" s="4"/>
    </row>
    <row r="6" ht="28" customHeight="1" spans="2:4" x14ac:dyDescent="0.25">
      <c r="B6" s="5" t="s">
        <v>4</v>
      </c>
      <c r="C6" s="4" t="s">
        <v>5</v>
      </c>
      <c r="D6" s="4"/>
    </row>
    <row r="7" ht="28" customHeight="1" spans="2:4" x14ac:dyDescent="0.25">
      <c r="B7" s="6" t="s">
        <v>6</v>
      </c>
      <c r="C7" s="4" t="s">
        <v>7</v>
      </c>
      <c r="D7" s="4"/>
    </row>
  </sheetData>
  <mergeCells count="5">
    <mergeCell ref="B2:D2"/>
    <mergeCell ref="B4:D4"/>
    <mergeCell ref="C5:D5"/>
    <mergeCell ref="C6:D6"/>
    <mergeCell ref="C7:D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7"/>
  <sheetViews>
    <sheetView workbookViewId="0"/>
  </sheetViews>
  <sheetFormatPr defaultRowHeight="15" outlineLevelRow="0" outlineLevelCol="0" x14ac:dyDescent="55"/>
  <cols>
    <col min="1" max="1" width="3" customWidth="1"/>
    <col min="2" max="2" width="22" customWidth="1"/>
    <col min="3" max="3" width="44" customWidth="1"/>
    <col min="4" max="4" width="10" customWidth="1"/>
    <col min="5" max="5" width="14" customWidth="1"/>
    <col min="6" max="6" width="15" customWidth="1"/>
    <col min="7" max="7" width="18" customWidth="1"/>
    <col min="8" max="8" width="26" customWidth="1"/>
    <col min="9" max="9" width="14" customWidth="1"/>
    <col min="10" max="10" width="12" customWidth="1"/>
    <col min="11" max="11" width="14" customWidth="1"/>
  </cols>
  <sheetData>
    <row r="1" ht="36" customHeight="1" spans="2:11" x14ac:dyDescent="0.25">
      <c r="B1" s="7" t="s">
        <v>8</v>
      </c>
      <c r="C1" s="7"/>
      <c r="D1" s="7"/>
      <c r="E1" s="7"/>
      <c r="F1" s="7"/>
      <c r="G1" s="7"/>
      <c r="H1" s="7"/>
      <c r="I1" s="7"/>
      <c r="J1" s="7"/>
      <c r="K1" s="7"/>
    </row>
    <row r="2" ht="24" customHeight="1" spans="2:11" x14ac:dyDescent="0.25">
      <c r="B2" s="8" t="s">
        <v>9</v>
      </c>
      <c r="C2" s="8"/>
      <c r="D2" s="8"/>
      <c r="E2" s="8"/>
      <c r="F2" s="8"/>
      <c r="G2" s="8"/>
      <c r="H2" s="8"/>
      <c r="I2" s="8"/>
      <c r="J2" s="8"/>
      <c r="K2" s="8"/>
    </row>
    <row r="3" ht="22" customHeight="1" spans="2:11" x14ac:dyDescent="0.25">
      <c r="B3" s="9" t="s">
        <v>10</v>
      </c>
      <c r="C3" s="9"/>
      <c r="D3" s="9"/>
      <c r="E3" s="9" t="s">
        <v>11</v>
      </c>
      <c r="F3" s="9"/>
      <c r="G3" s="9"/>
      <c r="H3" s="9" t="s">
        <v>12</v>
      </c>
      <c r="I3" s="9"/>
      <c r="J3" s="9"/>
      <c r="K3" s="9"/>
    </row>
    <row r="4" ht="22" customHeight="1" spans="2:11" x14ac:dyDescent="0.25">
      <c r="B4" s="10" t="s">
        <v>13</v>
      </c>
      <c r="C4" s="10"/>
      <c r="D4" s="10"/>
      <c r="E4" s="10" t="s">
        <v>14</v>
      </c>
      <c r="F4" s="10"/>
      <c r="G4" s="10"/>
      <c r="H4" s="10" t="s">
        <v>15</v>
      </c>
      <c r="I4" s="10"/>
      <c r="J4" s="10"/>
      <c r="K4" s="10"/>
    </row>
    <row r="5" ht="26" customHeight="1" spans="2:11" x14ac:dyDescent="0.25">
      <c r="B5" s="11" t="s">
        <v>16</v>
      </c>
      <c r="C5" s="12" t="s">
        <v>17</v>
      </c>
      <c r="D5" s="11" t="s">
        <v>18</v>
      </c>
      <c r="E5" s="13">
        <v>33</v>
      </c>
      <c r="F5" s="11" t="s">
        <v>19</v>
      </c>
      <c r="G5" s="14" t="s">
        <v>20</v>
      </c>
      <c r="H5" s="14"/>
      <c r="I5" s="14"/>
      <c r="J5" s="14"/>
      <c r="K5" s="14"/>
    </row>
    <row r="6" ht="26" customHeight="1" spans="2:11" x14ac:dyDescent="0.25">
      <c r="B6" s="15" t="s">
        <v>21</v>
      </c>
      <c r="C6" s="16">
        <f>G38</f>
        <v>15011.1</v>
      </c>
      <c r="D6" s="17" t="s">
        <v>22</v>
      </c>
      <c r="E6" s="18">
        <v>0.0025</v>
      </c>
      <c r="F6" s="19" t="s">
        <v>23</v>
      </c>
      <c r="G6" s="14" t="s">
        <v>24</v>
      </c>
      <c r="H6" s="14"/>
      <c r="I6" s="14"/>
      <c r="J6" s="14"/>
      <c r="K6" s="14"/>
    </row>
    <row r="8" ht="24" customHeight="1" spans="2:11" x14ac:dyDescent="0.25">
      <c r="B8" s="20" t="s">
        <v>25</v>
      </c>
      <c r="C8" s="20"/>
      <c r="D8" s="20"/>
      <c r="E8" s="20"/>
      <c r="F8" s="20"/>
      <c r="G8" s="20"/>
      <c r="H8" s="20"/>
      <c r="I8" s="20"/>
      <c r="J8" s="20"/>
      <c r="K8" s="20"/>
    </row>
    <row r="9" ht="20" customHeight="1" spans="2:11" x14ac:dyDescent="0.25">
      <c r="B9" s="21" t="s">
        <v>26</v>
      </c>
      <c r="C9" s="21"/>
      <c r="D9" s="22">
        <v>0</v>
      </c>
      <c r="E9" s="21" t="s">
        <v>27</v>
      </c>
      <c r="F9" s="21"/>
      <c r="G9" s="21"/>
      <c r="H9" s="22">
        <v>5</v>
      </c>
      <c r="I9" s="22"/>
      <c r="J9" s="22"/>
      <c r="K9" s="22"/>
    </row>
    <row r="10" ht="20" customHeight="1" spans="2:11" x14ac:dyDescent="0.25">
      <c r="B10" s="21" t="s">
        <v>28</v>
      </c>
      <c r="C10" s="21"/>
      <c r="D10" s="22">
        <v>0</v>
      </c>
      <c r="E10" s="21" t="s">
        <v>29</v>
      </c>
      <c r="F10" s="21"/>
      <c r="G10" s="21"/>
      <c r="H10" s="22">
        <v>165</v>
      </c>
      <c r="I10" s="22"/>
      <c r="J10" s="22"/>
      <c r="K10" s="22"/>
    </row>
    <row r="11" ht="20" customHeight="1" spans="2:11" x14ac:dyDescent="0.25">
      <c r="B11" s="21" t="s">
        <v>30</v>
      </c>
      <c r="C11" s="21"/>
      <c r="D11" s="22">
        <v>0</v>
      </c>
      <c r="E11" s="21" t="s">
        <v>31</v>
      </c>
      <c r="F11" s="21"/>
      <c r="G11" s="21"/>
      <c r="H11" s="22" t="s">
        <v>32</v>
      </c>
      <c r="I11" s="22"/>
      <c r="J11" s="22"/>
      <c r="K11" s="22"/>
    </row>
    <row r="12" ht="20" customHeight="1" spans="2:11" x14ac:dyDescent="0.25">
      <c r="B12" s="21" t="s">
        <v>33</v>
      </c>
      <c r="C12" s="21"/>
      <c r="D12" s="22">
        <v>8</v>
      </c>
      <c r="E12" s="21" t="s">
        <v>34</v>
      </c>
      <c r="F12" s="21"/>
      <c r="G12" s="21"/>
      <c r="H12" s="22" t="s">
        <v>32</v>
      </c>
      <c r="I12" s="22"/>
      <c r="J12" s="22"/>
      <c r="K12" s="22"/>
    </row>
    <row r="14" ht="24" customHeight="1" spans="2:11" x14ac:dyDescent="0.25">
      <c r="B14" s="20" t="s">
        <v>35</v>
      </c>
      <c r="C14" s="20"/>
      <c r="D14" s="20"/>
      <c r="E14" s="20"/>
      <c r="F14" s="20"/>
      <c r="G14" s="20"/>
      <c r="H14" s="23" t="s">
        <v>36</v>
      </c>
      <c r="I14" s="23"/>
      <c r="J14" s="23"/>
      <c r="K14" s="23"/>
    </row>
    <row r="15" ht="22" customHeight="1" spans="2:11" x14ac:dyDescent="0.25">
      <c r="B15" s="24" t="s">
        <v>37</v>
      </c>
      <c r="C15" s="24" t="s">
        <v>38</v>
      </c>
      <c r="D15" s="24" t="s">
        <v>39</v>
      </c>
      <c r="E15" s="24" t="s">
        <v>40</v>
      </c>
      <c r="F15" s="24" t="s">
        <v>41</v>
      </c>
      <c r="G15" s="24" t="s">
        <v>42</v>
      </c>
      <c r="H15" s="24" t="s">
        <v>43</v>
      </c>
      <c r="I15" s="24" t="s">
        <v>44</v>
      </c>
      <c r="J15" s="24" t="s">
        <v>45</v>
      </c>
      <c r="K15" s="24" t="s">
        <v>46</v>
      </c>
    </row>
    <row r="16" ht="20" customHeight="1" spans="2:11" x14ac:dyDescent="0.25">
      <c r="B16" s="25" t="s">
        <v>47</v>
      </c>
      <c r="C16" s="26" t="s">
        <v>48</v>
      </c>
      <c r="D16" s="26" t="s">
        <v>49</v>
      </c>
      <c r="E16" s="27">
        <v>1</v>
      </c>
      <c r="F16" s="28">
        <v>45</v>
      </c>
      <c r="G16" s="29">
        <v>8</v>
      </c>
      <c r="H16" s="25" t="s">
        <v>50</v>
      </c>
      <c r="I16" s="26" t="s">
        <v>51</v>
      </c>
      <c r="J16" s="27">
        <v>1</v>
      </c>
      <c r="K16" s="29">
        <v>9</v>
      </c>
    </row>
    <row r="17" ht="20" customHeight="1" spans="2:11" x14ac:dyDescent="0.25">
      <c r="B17" s="25" t="s">
        <v>52</v>
      </c>
      <c r="C17" s="26" t="s">
        <v>53</v>
      </c>
      <c r="D17" s="26" t="s">
        <v>49</v>
      </c>
      <c r="E17" s="27">
        <v>1</v>
      </c>
      <c r="F17" s="28">
        <v>38</v>
      </c>
      <c r="G17" s="29">
        <v>9.4</v>
      </c>
      <c r="H17" s="25" t="s">
        <v>54</v>
      </c>
      <c r="I17" s="26" t="s">
        <v>51</v>
      </c>
      <c r="J17" s="27">
        <v>1</v>
      </c>
      <c r="K17" s="29">
        <v>8.5</v>
      </c>
    </row>
    <row r="18" ht="20" customHeight="1" spans="2:11" x14ac:dyDescent="0.25">
      <c r="B18" s="25" t="s">
        <v>55</v>
      </c>
      <c r="C18" s="26" t="s">
        <v>56</v>
      </c>
      <c r="D18" s="26" t="s">
        <v>49</v>
      </c>
      <c r="E18" s="27">
        <v>1</v>
      </c>
      <c r="F18" s="28">
        <v>55</v>
      </c>
      <c r="G18" s="29">
        <v>4.8</v>
      </c>
      <c r="H18" s="25" t="s">
        <v>57</v>
      </c>
      <c r="I18" s="26" t="s">
        <v>51</v>
      </c>
      <c r="J18" s="27">
        <v>1</v>
      </c>
      <c r="K18" s="29">
        <v>8</v>
      </c>
    </row>
    <row r="19" ht="20" customHeight="1" spans="2:11" x14ac:dyDescent="0.25">
      <c r="B19" s="25" t="s">
        <v>58</v>
      </c>
      <c r="C19" s="26" t="s">
        <v>59</v>
      </c>
      <c r="D19" s="26" t="s">
        <v>60</v>
      </c>
      <c r="E19" s="27">
        <v>9</v>
      </c>
      <c r="F19" s="28">
        <v>35</v>
      </c>
      <c r="G19" s="29">
        <v>7</v>
      </c>
      <c r="H19" s="25" t="s">
        <v>61</v>
      </c>
      <c r="I19" s="26" t="s">
        <v>51</v>
      </c>
      <c r="J19" s="27">
        <v>2</v>
      </c>
      <c r="K19" s="29">
        <v>16</v>
      </c>
    </row>
    <row r="20" ht="20" customHeight="1" spans="2:11" x14ac:dyDescent="0.25">
      <c r="B20" s="25" t="s">
        <v>62</v>
      </c>
      <c r="C20" s="26" t="s">
        <v>63</v>
      </c>
      <c r="D20" s="26" t="s">
        <v>60</v>
      </c>
      <c r="E20" s="27">
        <v>3</v>
      </c>
      <c r="F20" s="28">
        <v>28</v>
      </c>
      <c r="G20" s="29">
        <v>8</v>
      </c>
      <c r="H20" s="25" t="s">
        <v>64</v>
      </c>
      <c r="I20" s="26" t="s">
        <v>51</v>
      </c>
      <c r="J20" s="27">
        <v>2</v>
      </c>
      <c r="K20" s="29">
        <v>16</v>
      </c>
    </row>
    <row r="21" ht="20" customHeight="1" spans="2:11" x14ac:dyDescent="0.25">
      <c r="B21" s="25" t="s">
        <v>65</v>
      </c>
      <c r="C21" s="26" t="s">
        <v>66</v>
      </c>
      <c r="D21" s="26" t="s">
        <v>49</v>
      </c>
      <c r="E21" s="27">
        <v>1</v>
      </c>
      <c r="F21" s="28">
        <v>55</v>
      </c>
      <c r="G21" s="29">
        <v>5.5</v>
      </c>
      <c r="H21" s="25" t="s">
        <v>67</v>
      </c>
      <c r="I21" s="26" t="s">
        <v>51</v>
      </c>
      <c r="J21" s="27">
        <v>1</v>
      </c>
      <c r="K21" s="29">
        <v>9.4</v>
      </c>
    </row>
    <row r="22" ht="20" customHeight="1" spans="2:11" x14ac:dyDescent="0.25">
      <c r="B22" s="25" t="s">
        <v>68</v>
      </c>
      <c r="C22" s="26" t="s">
        <v>69</v>
      </c>
      <c r="D22" s="26" t="s">
        <v>60</v>
      </c>
      <c r="E22" s="27">
        <v>4</v>
      </c>
      <c r="F22" s="28">
        <v>30</v>
      </c>
      <c r="G22" s="29">
        <v>8</v>
      </c>
      <c r="H22" s="25" t="s">
        <v>70</v>
      </c>
      <c r="I22" s="26" t="s">
        <v>51</v>
      </c>
      <c r="J22" s="27">
        <v>4</v>
      </c>
      <c r="K22" s="29">
        <v>32</v>
      </c>
    </row>
    <row r="23" ht="20" customHeight="1" spans="2:11" x14ac:dyDescent="0.25">
      <c r="B23" s="25" t="s">
        <v>71</v>
      </c>
      <c r="C23" s="26" t="s">
        <v>72</v>
      </c>
      <c r="D23" s="26" t="s">
        <v>49</v>
      </c>
      <c r="E23" s="27">
        <v>1</v>
      </c>
      <c r="F23" s="28">
        <v>25</v>
      </c>
      <c r="G23" s="29">
        <v>6</v>
      </c>
      <c r="H23" s="25" t="s">
        <v>73</v>
      </c>
      <c r="I23" s="26" t="s">
        <v>51</v>
      </c>
      <c r="J23" s="27">
        <v>6</v>
      </c>
      <c r="K23" s="29">
        <v>48</v>
      </c>
    </row>
    <row r="26" ht="24" customHeight="1" spans="2:11" x14ac:dyDescent="0.25">
      <c r="B26" s="20" t="s">
        <v>74</v>
      </c>
      <c r="C26" s="20"/>
      <c r="D26" s="20"/>
      <c r="E26" s="20"/>
      <c r="F26" s="20"/>
      <c r="G26" s="20"/>
      <c r="H26" s="20"/>
      <c r="I26" s="20"/>
      <c r="J26" s="20"/>
      <c r="K26" s="20"/>
    </row>
    <row r="27" ht="22" customHeight="1" spans="2:11" x14ac:dyDescent="0.25">
      <c r="B27" s="24" t="s">
        <v>75</v>
      </c>
      <c r="C27" s="30" t="s">
        <v>76</v>
      </c>
      <c r="D27" s="24" t="s">
        <v>77</v>
      </c>
      <c r="E27" s="31" t="s">
        <v>78</v>
      </c>
      <c r="F27" s="31" t="s">
        <v>79</v>
      </c>
      <c r="G27" s="31" t="s">
        <v>80</v>
      </c>
      <c r="H27" s="30" t="s">
        <v>81</v>
      </c>
      <c r="I27" s="24" t="s">
        <v>82</v>
      </c>
      <c r="J27" s="31" t="s">
        <v>83</v>
      </c>
      <c r="K27" s="31" t="s">
        <v>84</v>
      </c>
    </row>
    <row r="28" ht="20" customHeight="1" spans="2:11" x14ac:dyDescent="0.25">
      <c r="B28" s="32">
        <v>4</v>
      </c>
      <c r="C28" s="25" t="s">
        <v>85</v>
      </c>
      <c r="D28" s="33" t="s">
        <v>86</v>
      </c>
      <c r="E28" s="28">
        <v>3.23</v>
      </c>
      <c r="F28" s="34">
        <v>850</v>
      </c>
      <c r="G28" s="35">
        <f>E28*F28</f>
        <v>2745.5</v>
      </c>
      <c r="H28" s="36" t="s">
        <v>87</v>
      </c>
      <c r="I28" s="37" t="s">
        <v>88</v>
      </c>
      <c r="J28" s="38">
        <v>2400</v>
      </c>
      <c r="K28" s="38">
        <v>2900</v>
      </c>
    </row>
    <row r="29" ht="20" customHeight="1" spans="2:11" x14ac:dyDescent="0.25">
      <c r="B29" s="32">
        <v>5</v>
      </c>
      <c r="C29" s="25" t="s">
        <v>89</v>
      </c>
      <c r="D29" s="33" t="s">
        <v>86</v>
      </c>
      <c r="E29" s="28">
        <v>3.07</v>
      </c>
      <c r="F29" s="34">
        <v>780</v>
      </c>
      <c r="G29" s="35">
        <f>E29*F29</f>
        <v>2394.6</v>
      </c>
      <c r="H29" s="36" t="s">
        <v>90</v>
      </c>
      <c r="I29" s="37" t="s">
        <v>91</v>
      </c>
      <c r="J29" s="38">
        <v>2400</v>
      </c>
      <c r="K29" s="38">
        <v>3200</v>
      </c>
    </row>
    <row r="30" ht="20" customHeight="1" spans="2:11" x14ac:dyDescent="0.25">
      <c r="B30" s="32">
        <v>6</v>
      </c>
      <c r="C30" s="25" t="s">
        <v>92</v>
      </c>
      <c r="D30" s="33" t="s">
        <v>86</v>
      </c>
      <c r="E30" s="28">
        <v>5.28</v>
      </c>
      <c r="F30" s="34">
        <v>672.3</v>
      </c>
      <c r="G30" s="35">
        <f>E30*F30</f>
        <v>3549.744</v>
      </c>
      <c r="H30" s="36" t="s">
        <v>93</v>
      </c>
      <c r="I30" s="37" t="s">
        <v>94</v>
      </c>
      <c r="J30" s="38">
        <v>3100</v>
      </c>
      <c r="K30" s="38">
        <v>3400</v>
      </c>
    </row>
    <row r="31" ht="20" customHeight="1" spans="2:11" x14ac:dyDescent="0.25">
      <c r="B31" s="32">
        <v>7</v>
      </c>
      <c r="C31" s="25" t="s">
        <v>95</v>
      </c>
      <c r="D31" s="33" t="s">
        <v>96</v>
      </c>
      <c r="E31" s="28">
        <v>0.32</v>
      </c>
      <c r="F31" s="34">
        <v>15400</v>
      </c>
      <c r="G31" s="35">
        <f>E31*F31</f>
        <v>4928</v>
      </c>
      <c r="H31" s="36" t="s">
        <v>97</v>
      </c>
      <c r="I31" s="37" t="s">
        <v>94</v>
      </c>
      <c r="J31" s="38">
        <v>0</v>
      </c>
      <c r="K31" s="38">
        <v>45000</v>
      </c>
    </row>
    <row r="32" ht="20" customHeight="1" spans="2:11" x14ac:dyDescent="0.25">
      <c r="B32" s="32">
        <v>8</v>
      </c>
      <c r="C32" s="25" t="s">
        <v>98</v>
      </c>
      <c r="D32" s="33" t="s">
        <v>86</v>
      </c>
      <c r="E32" s="28">
        <v>23</v>
      </c>
      <c r="F32" s="34">
        <v>120</v>
      </c>
      <c r="G32" s="35">
        <f>E32*F32</f>
        <v>2760</v>
      </c>
      <c r="H32" s="36" t="s">
        <v>99</v>
      </c>
      <c r="I32" s="37" t="s">
        <v>88</v>
      </c>
      <c r="J32" s="38">
        <v>1200</v>
      </c>
      <c r="K32" s="38">
        <v>1450</v>
      </c>
    </row>
    <row r="33" ht="20" customHeight="1" spans="2:11" x14ac:dyDescent="0.25">
      <c r="B33" s="32">
        <v>10</v>
      </c>
      <c r="C33" s="25" t="s">
        <v>100</v>
      </c>
      <c r="D33" s="33" t="s">
        <v>101</v>
      </c>
      <c r="E33" s="28">
        <v>1.85</v>
      </c>
      <c r="F33" s="34">
        <v>1250</v>
      </c>
      <c r="G33" s="35">
        <f>E33*F33</f>
        <v>2312.5</v>
      </c>
      <c r="H33" s="36" t="s">
        <v>102</v>
      </c>
      <c r="I33" s="37" t="s">
        <v>94</v>
      </c>
      <c r="J33" s="38">
        <v>800</v>
      </c>
      <c r="K33" s="38">
        <v>1200</v>
      </c>
    </row>
    <row r="34" ht="20" customHeight="1" spans="2:11" x14ac:dyDescent="0.25">
      <c r="B34" s="32">
        <v>12</v>
      </c>
      <c r="C34" s="25" t="s">
        <v>103</v>
      </c>
      <c r="D34" s="33" t="s">
        <v>104</v>
      </c>
      <c r="E34" s="28">
        <v>125</v>
      </c>
      <c r="F34" s="34">
        <v>12</v>
      </c>
      <c r="G34" s="35">
        <f>E34*F34</f>
        <v>1500</v>
      </c>
      <c r="H34" s="36" t="s">
        <v>105</v>
      </c>
      <c r="I34" s="37" t="s">
        <v>106</v>
      </c>
      <c r="J34" s="38">
        <v>2150</v>
      </c>
      <c r="K34" s="38">
        <v>2150</v>
      </c>
    </row>
    <row r="35" ht="28" customHeight="1" spans="2:11" x14ac:dyDescent="0.25">
      <c r="B35" s="39" t="s">
        <v>107</v>
      </c>
      <c r="C35" s="39"/>
      <c r="D35" s="39"/>
      <c r="E35" s="39"/>
      <c r="F35" s="39"/>
      <c r="G35" s="40">
        <f>SUM(G28:G34)</f>
        <v>20190.344</v>
      </c>
      <c r="H35" s="41"/>
      <c r="I35" s="41"/>
      <c r="J35" s="41"/>
      <c r="K35" s="41"/>
    </row>
    <row r="37" ht="24" customHeight="1" spans="2:11" x14ac:dyDescent="0.25">
      <c r="B37" s="20" t="s">
        <v>108</v>
      </c>
      <c r="C37" s="20"/>
      <c r="D37" s="20"/>
      <c r="E37" s="20"/>
      <c r="F37" s="20"/>
      <c r="G37" s="20"/>
      <c r="H37" s="20"/>
      <c r="I37" s="20"/>
      <c r="J37" s="20"/>
      <c r="K37" s="20"/>
    </row>
    <row r="38" ht="22" customHeight="1" spans="2:11" x14ac:dyDescent="0.25">
      <c r="B38" s="42" t="s">
        <v>109</v>
      </c>
      <c r="C38" s="42"/>
      <c r="D38" s="42"/>
      <c r="E38" s="25" t="s">
        <v>110</v>
      </c>
      <c r="F38" s="25"/>
      <c r="G38" s="25"/>
      <c r="H38" s="25"/>
      <c r="I38" s="25"/>
      <c r="J38" s="25"/>
      <c r="K38" s="25"/>
    </row>
    <row r="39" ht="22" customHeight="1" spans="2:11" x14ac:dyDescent="0.25">
      <c r="B39" s="42" t="s">
        <v>111</v>
      </c>
      <c r="C39" s="42"/>
      <c r="D39" s="42"/>
      <c r="E39" s="25" t="s">
        <v>112</v>
      </c>
      <c r="F39" s="25"/>
      <c r="G39" s="25"/>
      <c r="H39" s="25"/>
      <c r="I39" s="25"/>
      <c r="J39" s="25"/>
      <c r="K39" s="25"/>
    </row>
    <row r="40" ht="22" customHeight="1" spans="2:11" x14ac:dyDescent="0.25">
      <c r="B40" s="42" t="s">
        <v>113</v>
      </c>
      <c r="C40" s="42"/>
      <c r="D40" s="42"/>
      <c r="E40" s="25" t="s">
        <v>114</v>
      </c>
      <c r="F40" s="25"/>
      <c r="G40" s="25"/>
      <c r="H40" s="25"/>
      <c r="I40" s="25"/>
      <c r="J40" s="25"/>
      <c r="K40" s="25"/>
    </row>
    <row r="41" ht="22" customHeight="1" spans="2:11" x14ac:dyDescent="0.25">
      <c r="B41" s="42" t="s">
        <v>115</v>
      </c>
      <c r="C41" s="42"/>
      <c r="D41" s="42"/>
      <c r="E41" s="25" t="s">
        <v>116</v>
      </c>
      <c r="F41" s="25"/>
      <c r="G41" s="25"/>
      <c r="H41" s="25"/>
      <c r="I41" s="25"/>
      <c r="J41" s="25"/>
      <c r="K41" s="25"/>
    </row>
    <row r="42" ht="22" customHeight="1" spans="2:11" x14ac:dyDescent="0.25">
      <c r="B42" s="42" t="s">
        <v>117</v>
      </c>
      <c r="C42" s="42"/>
      <c r="D42" s="42"/>
      <c r="E42" s="25" t="s">
        <v>118</v>
      </c>
      <c r="F42" s="25"/>
      <c r="G42" s="25"/>
      <c r="H42" s="25"/>
      <c r="I42" s="25"/>
      <c r="J42" s="25"/>
      <c r="K42" s="25"/>
    </row>
    <row r="44" ht="24" customHeight="1" spans="2:11" x14ac:dyDescent="0.25">
      <c r="B44" s="20" t="s">
        <v>119</v>
      </c>
      <c r="C44" s="20"/>
      <c r="D44" s="20"/>
      <c r="E44" s="20"/>
      <c r="F44" s="20"/>
      <c r="G44" s="20"/>
      <c r="H44" s="20"/>
      <c r="I44" s="20"/>
      <c r="J44" s="20"/>
      <c r="K44" s="20"/>
    </row>
    <row r="45" ht="28" customHeight="1" spans="2:11" x14ac:dyDescent="0.25">
      <c r="B45" s="43" t="s">
        <v>120</v>
      </c>
      <c r="C45" s="43"/>
      <c r="D45" s="43"/>
      <c r="E45" s="43"/>
      <c r="F45" s="43"/>
      <c r="G45" s="43"/>
      <c r="H45" s="43"/>
      <c r="I45" s="43"/>
      <c r="J45" s="43"/>
      <c r="K45" s="43"/>
    </row>
    <row r="47" ht="45" customHeight="1" spans="2:11" x14ac:dyDescent="0.25">
      <c r="B47" s="44" t="s">
        <v>121</v>
      </c>
      <c r="C47" s="44"/>
      <c r="D47" s="44"/>
      <c r="E47" s="44"/>
      <c r="G47" s="44" t="s">
        <v>122</v>
      </c>
      <c r="H47" s="44"/>
      <c r="I47" s="44"/>
      <c r="J47" s="44"/>
      <c r="K47" s="44"/>
    </row>
  </sheetData>
  <mergeCells count="43">
    <mergeCell ref="B1:K1"/>
    <mergeCell ref="B2:K2"/>
    <mergeCell ref="B3:D3"/>
    <mergeCell ref="E3:G3"/>
    <mergeCell ref="H3:K3"/>
    <mergeCell ref="B4:D4"/>
    <mergeCell ref="E4:G4"/>
    <mergeCell ref="H4:K4"/>
    <mergeCell ref="G5:K5"/>
    <mergeCell ref="G6:K6"/>
    <mergeCell ref="B8:K8"/>
    <mergeCell ref="B9:C9"/>
    <mergeCell ref="E9:G9"/>
    <mergeCell ref="H9:K9"/>
    <mergeCell ref="B10:C10"/>
    <mergeCell ref="E10:G10"/>
    <mergeCell ref="H10:K10"/>
    <mergeCell ref="B11:C11"/>
    <mergeCell ref="E11:G11"/>
    <mergeCell ref="H11:K11"/>
    <mergeCell ref="B12:C12"/>
    <mergeCell ref="E12:G12"/>
    <mergeCell ref="H12:K12"/>
    <mergeCell ref="B14:G14"/>
    <mergeCell ref="H14:K14"/>
    <mergeCell ref="B26:K26"/>
    <mergeCell ref="B35:F35"/>
    <mergeCell ref="H35:K35"/>
    <mergeCell ref="B37:K37"/>
    <mergeCell ref="B38:D38"/>
    <mergeCell ref="E38:K38"/>
    <mergeCell ref="B39:D39"/>
    <mergeCell ref="E39:K39"/>
    <mergeCell ref="B40:D40"/>
    <mergeCell ref="E40:K40"/>
    <mergeCell ref="B41:D41"/>
    <mergeCell ref="E41:K41"/>
    <mergeCell ref="B42:D42"/>
    <mergeCell ref="E42:K42"/>
    <mergeCell ref="B44:K44"/>
    <mergeCell ref="B45:K45"/>
    <mergeCell ref="B47:E47"/>
    <mergeCell ref="G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INSTRUCCIONES_RDO</vt:lpstr>
      <vt:lpstr>RDO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LICOSA S.A.</dc:creator>
  <dc:title/>
  <dc:subject/>
  <dc:description/>
  <cp:keywords/>
  <cp:category/>
  <cp:lastModifiedBy>Sistema Integral LICOSA</cp:lastModifiedBy>
  <dcterms:created xsi:type="dcterms:W3CDTF">2026-10-14T19:09:49Z</dcterms:created>
  <dcterms:modified xsi:type="dcterms:W3CDTF">2026-10-14T19:09:49Z</dcterms:modified>
</cp:coreProperties>
</file>