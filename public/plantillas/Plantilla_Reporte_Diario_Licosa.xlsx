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DO" state="visible" r:id="rId4"/>
    <sheet sheetId="2" name="Rubros" state="visible" r:id="rId5"/>
  </sheets>
  <calcPr calcId="171027"/>
</workbook>
</file>

<file path=xl/sharedStrings.xml><?xml version="1.0" encoding="utf-8"?>
<sst xmlns="http://schemas.openxmlformats.org/spreadsheetml/2006/main" count="116" uniqueCount="92">
  <si>
    <t>REPORTE DIARIO DE OBRA</t>
  </si>
  <si>
    <t>CONSTRUCCIÓN DE CANAL SECUNDARIO (METROPOLIS) - ALTERNATIVA VERANO</t>
  </si>
  <si>
    <t>CONTRATISTA: LICOSA, LICITACIONES Y CONTRATOS S.A.</t>
  </si>
  <si>
    <t>CONTRATANTE: FIDEICOMISO NARCISA PLAZA (FIDEVAL S.A.)</t>
  </si>
  <si>
    <t>FISCALIZACION: ING. EMILIANO SORNOZA CASTILLO</t>
  </si>
  <si>
    <t>FECHA:</t>
  </si>
  <si>
    <t>2026-10-15</t>
  </si>
  <si>
    <t>REPORTE N°:</t>
  </si>
  <si>
    <t>TRAMO / SEGMENTO:</t>
  </si>
  <si>
    <t>0+000 - 0+943.30 (Alternativa Verano)</t>
  </si>
  <si>
    <t>MONTO DE TRABAJOS EJECUTADOS:</t>
  </si>
  <si>
    <t>% AVANCE:</t>
  </si>
  <si>
    <t>DÍAS TRANSCURRIDOS / PLAZO:</t>
  </si>
  <si>
    <t>Inicio: 2026-10-15 | Plazo contractual: 150 días</t>
  </si>
  <si>
    <t>1. REPORTE DE CLIMA Y EHS (SEGURIDAD, SALUD Y AMBIENTE)</t>
  </si>
  <si>
    <t>Horas de lluvia (dia)</t>
  </si>
  <si>
    <t>Tiempo charla diaria (min)</t>
  </si>
  <si>
    <t>Horas de lluvia (noche)</t>
  </si>
  <si>
    <t>Tiempo charla acum. (min)</t>
  </si>
  <si>
    <t>Horas perdidas por lluvia</t>
  </si>
  <si>
    <t>Incidentes (dia / acum.)</t>
  </si>
  <si>
    <t>0/0</t>
  </si>
  <si>
    <t>Horas perdidas acum. por lluvia</t>
  </si>
  <si>
    <t>Accidentes (dia / acum.)</t>
  </si>
  <si>
    <t>2. REPORTE DE EQUIPO</t>
  </si>
  <si>
    <t>3. REPORTE DE PERSONAL</t>
  </si>
  <si>
    <t>Descripción del equipo</t>
  </si>
  <si>
    <t>Unidad</t>
  </si>
  <si>
    <t>Cantidad</t>
  </si>
  <si>
    <t>Horas dia</t>
  </si>
  <si>
    <t>Categoria / Cargo</t>
  </si>
  <si>
    <t>N°</t>
  </si>
  <si>
    <t>H-Hombre dia</t>
  </si>
  <si>
    <t>EXCAVADORA (CONSBER)</t>
  </si>
  <si>
    <t>hr</t>
  </si>
  <si>
    <t>Residente - Ing. Gustavo Berrezueta</t>
  </si>
  <si>
    <t>EXCAVADORA VOLVO EX06</t>
  </si>
  <si>
    <t>Topografo -</t>
  </si>
  <si>
    <t>VOLQUETA VQ-32</t>
  </si>
  <si>
    <t>Cadenero -</t>
  </si>
  <si>
    <t>TRACTOR TR-08</t>
  </si>
  <si>
    <t>Ayudante Geotextil -</t>
  </si>
  <si>
    <t>RODILLO RL-16</t>
  </si>
  <si>
    <t>Operador Excavadora -</t>
  </si>
  <si>
    <t>TANQUERO DE AGUA TQ-01</t>
  </si>
  <si>
    <t>Chofer Volqueta -</t>
  </si>
  <si>
    <t/>
  </si>
  <si>
    <t>4. RUBROS PRINCIPALES DEL DÍA</t>
  </si>
  <si>
    <t>N° Rubro</t>
  </si>
  <si>
    <t>Descripción (auto)</t>
  </si>
  <si>
    <t>Unid.</t>
  </si>
  <si>
    <t>Cant. día</t>
  </si>
  <si>
    <t>Cant. acum.</t>
  </si>
  <si>
    <t>Monto día ($)</t>
  </si>
  <si>
    <t>Monto acum. ($)</t>
  </si>
  <si>
    <t>[NC_19] Excavacion en fango e=0.40m</t>
  </si>
  <si>
    <t>m3</t>
  </si>
  <si>
    <t>[R-30] Relleno con material de sitio (incl. cargada y transporte)</t>
  </si>
  <si>
    <t>[R-33] Bombeo</t>
  </si>
  <si>
    <t>dia</t>
  </si>
  <si>
    <t>SUBTOTAL RUBROS PRINCIPALES ($)</t>
  </si>
  <si>
    <t>6. RESUMEN DE ACTIVIDADES REALIZADAS HOY</t>
  </si>
  <si>
    <t>VIAL</t>
  </si>
  <si>
    <t>Excavación en fango e=0.40m y transporte interno de material de desecho hacia escombrera autorizada.</t>
  </si>
  <si>
    <t>ESTRUCTURA DE PAVIMENTO</t>
  </si>
  <si>
    <t>Sin actividad en la jornada.</t>
  </si>
  <si>
    <t>DRENAJE</t>
  </si>
  <si>
    <t>Bombeo continuo y achique de agua en sector bajo de la excavación.</t>
  </si>
  <si>
    <t>ESTRUCTURAS / PUENTES</t>
  </si>
  <si>
    <t>TOPOGRAFÍA</t>
  </si>
  <si>
    <t>Control de niveles de fondo de excavación y replanteo de bermas.</t>
  </si>
  <si>
    <t>SEÑALIZACIÓN</t>
  </si>
  <si>
    <t>Mantenimiento de señalización preventiva y cinta perimetral.</t>
  </si>
  <si>
    <t>AMBIENTAL / SOCIAL / SEGURIDAD</t>
  </si>
  <si>
    <t>Charla de 5 minutos sobre prevención de caídas y uso de botas de caucho.</t>
  </si>
  <si>
    <t>7. ACTIVIDADES A REALIZAR MAÑANA</t>
  </si>
  <si>
    <t>Continuar excavación en fango e=0.40m y desalojo. Nivelación de subrasante y control topográfico.</t>
  </si>
  <si>
    <t>8. NOVEDADES / PARALIZACIONES / RIESGOS DE SEGURIDAD (GDO)</t>
  </si>
  <si>
    <t>Jornada transcurrida sin paralizaciones ni incidentes graves. Se mantiene bombeo por presencia de nivel freático.</t>
  </si>
  <si>
    <t>9. COMENTARIOS Y OBSERVACIONES</t>
  </si>
  <si>
    <t>COMENTARIOS DEL CONTRATISTA: Se avanza conforme al cronograma de verano aprobado.</t>
  </si>
  <si>
    <t>COMENTARIOS DE FISCALIZACIÓN: Trabajos ejecutados de acuerdo a las especificaciones técnicas.</t>
  </si>
  <si>
    <t>11. FIRMAS Y RESPONSABLES</t>
  </si>
  <si>
    <t xml:space="preserve">ELABORADO POR: Ing. María Fernanda Ligua
Cargo: Ing. de Planillas</t>
  </si>
  <si>
    <t xml:space="preserve">REVISADO POR: Ing. Jerson López
Cargo: Residente de Obra | Fiscalización: ING. EMILIANO SORNOZA CASTILLO</t>
  </si>
  <si>
    <t>CATÁLOGO CONTRACTUAL DE RUBROS - FRENTE LICOSA</t>
  </si>
  <si>
    <t>DESCRIPCIÓN</t>
  </si>
  <si>
    <t>P.U. ($)</t>
  </si>
  <si>
    <t>Cant. asignada LICOSA</t>
  </si>
  <si>
    <t>Monto asignado LICOSA ($)</t>
  </si>
  <si>
    <t>Tipo de Rubro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</si>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</sst>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1B365D"/>
      <sz val="10"/>
      <name val="Calibri"/>
    </font>
    <font>
      <b/>
      <sz val="9"/>
      <name val="Calibri"/>
    </font>
    <font>
      <b/>
      <sz val="9.5"/>
    </font>
    <font>
      <b/>
      <sz val="9"/>
    </font>
    <font>
      <b/>
    </font>
    <font>
      <b/>
      <color rgb="FFFFFFFF"/>
      <sz val="11"/>
      <name val="Calibri"/>
    </font>
    <font>
      <b/>
      <color rgb="FFFFFFFF"/>
      <sz val="10.5"/>
      <name val="Calibri"/>
    </font>
    <font>
      <b/>
      <color rgb="FFFFFFFF"/>
      <sz val="9.5"/>
      <name val="Calibri"/>
    </font>
    <font>
      <b/>
      <sz val="10.5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5" fillId="0" borderId="1" xfId="0" applyFont="1" applyBorder="1"/>
    <xf numFmtId="164" fontId="6" fillId="4" borderId="1" xfId="0" applyNumberFormat="1" applyFont="1" applyFill="1" applyBorder="1" applyAlignment="1">
      <alignment horizontal="center"/>
    </xf>
    <xf numFmtId="10" fontId="6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7" fillId="5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/>
    </xf>
    <xf numFmtId="0" fontId="8" fillId="5" borderId="0" xfId="0" applyFont="1" applyFill="1" applyAlignment="1">
      <alignment horizontal="left" vertical="center" indent="1"/>
    </xf>
    <xf numFmtId="0" fontId="9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4" fontId="6" fillId="4" borderId="1" xfId="0" applyNumberFormat="1" applyFon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/>
  </sheetViews>
  <sheetFormatPr defaultRowHeight="15" outlineLevelRow="0" outlineLevelCol="0" x14ac:dyDescent="55"/>
  <cols>
    <col min="1" max="1" width="14" customWidth="1"/>
    <col min="2" max="2" width="44" customWidth="1"/>
    <col min="3" max="3" width="10" customWidth="1"/>
    <col min="4" max="5" width="14" customWidth="1"/>
    <col min="6" max="6" width="12" customWidth="1"/>
    <col min="7" max="7" width="16" customWidth="1"/>
    <col min="8" max="9" width="14" customWidth="1"/>
    <col min="10" max="11" width="16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 x14ac:dyDescent="0.25">
      <c r="A3" s="3" t="s">
        <v>2</v>
      </c>
      <c r="B3" s="3"/>
      <c r="C3" s="3"/>
      <c r="D3" s="3"/>
      <c r="E3" s="3" t="s">
        <v>3</v>
      </c>
      <c r="F3" s="3"/>
      <c r="G3" s="3"/>
      <c r="H3" s="3" t="s">
        <v>4</v>
      </c>
      <c r="I3" s="3"/>
      <c r="J3" s="3"/>
      <c r="K3" s="3"/>
    </row>
    <row r="4" ht="22" customHeight="1" spans="1:11" x14ac:dyDescent="0.25">
      <c r="A4" s="4" t="s">
        <v>5</v>
      </c>
      <c r="B4" s="5" t="s">
        <v>6</v>
      </c>
      <c r="C4" s="5"/>
      <c r="D4" s="4" t="s">
        <v>7</v>
      </c>
      <c r="E4" s="5">
        <v>1</v>
      </c>
      <c r="F4" s="4" t="s">
        <v>8</v>
      </c>
      <c r="G4" s="4"/>
      <c r="H4" s="6" t="s">
        <v>9</v>
      </c>
      <c r="I4" s="6"/>
      <c r="J4" s="6"/>
      <c r="K4" s="6"/>
    </row>
    <row r="5" ht="22" customHeight="1" spans="1:11" x14ac:dyDescent="0.25">
      <c r="A5" s="7" t="s">
        <v>10</v>
      </c>
      <c r="B5" s="8">
        <f>J29</f>
        <v>0</v>
      </c>
      <c r="C5" s="8"/>
      <c r="D5" s="4" t="s">
        <v>11</v>
      </c>
      <c r="E5" s="9">
        <v>0.2146</v>
      </c>
      <c r="F5" s="7" t="s">
        <v>12</v>
      </c>
      <c r="G5" s="7"/>
      <c r="H5" s="10" t="s">
        <v>13</v>
      </c>
      <c r="I5" s="10"/>
      <c r="J5" s="10"/>
      <c r="K5" s="10"/>
    </row>
    <row r="7" ht="22" customHeight="1" spans="1:11" x14ac:dyDescent="0.25">
      <c r="A7" s="11" t="s">
        <v>14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19" customHeight="1" spans="1:11" x14ac:dyDescent="0.25">
      <c r="A8" s="10" t="s">
        <v>15</v>
      </c>
      <c r="B8" s="10"/>
      <c r="C8" s="10"/>
      <c r="D8" s="12">
        <v>0</v>
      </c>
      <c r="E8" s="12"/>
      <c r="F8" s="10" t="s">
        <v>16</v>
      </c>
      <c r="G8" s="10"/>
      <c r="H8" s="10"/>
      <c r="I8" s="12">
        <v>5</v>
      </c>
      <c r="J8" s="12"/>
      <c r="K8" s="12"/>
    </row>
    <row r="9" ht="19" customHeight="1" spans="1:11" x14ac:dyDescent="0.25">
      <c r="A9" s="10" t="s">
        <v>17</v>
      </c>
      <c r="B9" s="10"/>
      <c r="C9" s="10"/>
      <c r="D9" s="12">
        <v>0</v>
      </c>
      <c r="E9" s="12"/>
      <c r="F9" s="10" t="s">
        <v>18</v>
      </c>
      <c r="G9" s="10"/>
      <c r="H9" s="10"/>
      <c r="I9" s="12">
        <v>10</v>
      </c>
      <c r="J9" s="12"/>
      <c r="K9" s="12"/>
    </row>
    <row r="10" ht="19" customHeight="1" spans="1:11" x14ac:dyDescent="0.25">
      <c r="A10" s="10" t="s">
        <v>19</v>
      </c>
      <c r="B10" s="10"/>
      <c r="C10" s="10"/>
      <c r="D10" s="12">
        <v>0</v>
      </c>
      <c r="E10" s="12"/>
      <c r="F10" s="10" t="s">
        <v>20</v>
      </c>
      <c r="G10" s="10"/>
      <c r="H10" s="10"/>
      <c r="I10" s="12" t="s">
        <v>21</v>
      </c>
      <c r="J10" s="12"/>
      <c r="K10" s="12"/>
    </row>
    <row r="11" ht="19" customHeight="1" spans="1:11" x14ac:dyDescent="0.25">
      <c r="A11" s="10" t="s">
        <v>22</v>
      </c>
      <c r="B11" s="10"/>
      <c r="C11" s="10"/>
      <c r="D11" s="12">
        <v>0</v>
      </c>
      <c r="E11" s="12"/>
      <c r="F11" s="10" t="s">
        <v>23</v>
      </c>
      <c r="G11" s="10"/>
      <c r="H11" s="10"/>
      <c r="I11" s="12" t="s">
        <v>21</v>
      </c>
      <c r="J11" s="12"/>
      <c r="K11" s="12"/>
    </row>
    <row r="13" ht="22" customHeight="1" spans="1:11" x14ac:dyDescent="0.25">
      <c r="A13" s="13" t="s">
        <v>24</v>
      </c>
      <c r="B13" s="13"/>
      <c r="C13" s="13"/>
      <c r="D13" s="13"/>
      <c r="E13" s="13"/>
      <c r="F13" s="13" t="s">
        <v>25</v>
      </c>
      <c r="G13" s="13"/>
      <c r="H13" s="13"/>
      <c r="I13" s="13"/>
      <c r="J13" s="13"/>
      <c r="K13" s="13"/>
    </row>
    <row r="14" ht="22" customHeight="1" spans="1:11" x14ac:dyDescent="0.25">
      <c r="A14" s="14" t="s">
        <v>26</v>
      </c>
      <c r="B14" s="14"/>
      <c r="C14" s="14" t="s">
        <v>27</v>
      </c>
      <c r="D14" s="14" t="s">
        <v>28</v>
      </c>
      <c r="E14" s="14" t="s">
        <v>29</v>
      </c>
      <c r="F14" s="14" t="s">
        <v>30</v>
      </c>
      <c r="G14" s="14"/>
      <c r="H14" s="14"/>
      <c r="I14" s="14"/>
      <c r="J14" s="14" t="s">
        <v>31</v>
      </c>
      <c r="K14" s="14" t="s">
        <v>32</v>
      </c>
    </row>
    <row r="15" ht="19" customHeight="1" spans="1:11" x14ac:dyDescent="0.25">
      <c r="A15" s="10" t="s">
        <v>33</v>
      </c>
      <c r="B15" s="10"/>
      <c r="C15" s="15" t="s">
        <v>34</v>
      </c>
      <c r="D15" s="5">
        <v>1</v>
      </c>
      <c r="E15" s="12">
        <v>8</v>
      </c>
      <c r="F15" s="10" t="s">
        <v>35</v>
      </c>
      <c r="G15" s="10"/>
      <c r="H15" s="10"/>
      <c r="I15" s="10"/>
      <c r="J15" s="5">
        <v>1</v>
      </c>
      <c r="K15" s="12">
        <v>8</v>
      </c>
    </row>
    <row r="16" ht="19" customHeight="1" spans="1:11" x14ac:dyDescent="0.25">
      <c r="A16" s="10" t="s">
        <v>36</v>
      </c>
      <c r="B16" s="10"/>
      <c r="C16" s="15" t="s">
        <v>34</v>
      </c>
      <c r="D16" s="5">
        <v>1</v>
      </c>
      <c r="E16" s="12">
        <v>6</v>
      </c>
      <c r="F16" s="10" t="s">
        <v>37</v>
      </c>
      <c r="G16" s="10"/>
      <c r="H16" s="10"/>
      <c r="I16" s="10"/>
      <c r="J16" s="5">
        <v>1</v>
      </c>
      <c r="K16" s="12">
        <v>8</v>
      </c>
    </row>
    <row r="17" ht="19" customHeight="1" spans="1:11" x14ac:dyDescent="0.25">
      <c r="A17" s="10" t="s">
        <v>38</v>
      </c>
      <c r="B17" s="10"/>
      <c r="C17" s="15" t="s">
        <v>34</v>
      </c>
      <c r="D17" s="5">
        <v>1</v>
      </c>
      <c r="E17" s="12">
        <v>8</v>
      </c>
      <c r="F17" s="10" t="s">
        <v>39</v>
      </c>
      <c r="G17" s="10"/>
      <c r="H17" s="10"/>
      <c r="I17" s="10"/>
      <c r="J17" s="5">
        <v>1</v>
      </c>
      <c r="K17" s="12">
        <v>8</v>
      </c>
    </row>
    <row r="18" ht="19" customHeight="1" spans="1:11" x14ac:dyDescent="0.25">
      <c r="A18" s="10" t="s">
        <v>40</v>
      </c>
      <c r="B18" s="10"/>
      <c r="C18" s="15" t="s">
        <v>34</v>
      </c>
      <c r="D18" s="5">
        <v>0</v>
      </c>
      <c r="E18" s="12">
        <v>0</v>
      </c>
      <c r="F18" s="10" t="s">
        <v>41</v>
      </c>
      <c r="G18" s="10"/>
      <c r="H18" s="10"/>
      <c r="I18" s="10"/>
      <c r="J18" s="5">
        <v>1</v>
      </c>
      <c r="K18" s="12">
        <v>8</v>
      </c>
    </row>
    <row r="19" ht="19" customHeight="1" spans="1:11" x14ac:dyDescent="0.25">
      <c r="A19" s="10" t="s">
        <v>42</v>
      </c>
      <c r="B19" s="10"/>
      <c r="C19" s="15" t="s">
        <v>34</v>
      </c>
      <c r="D19" s="5">
        <v>0</v>
      </c>
      <c r="E19" s="12">
        <v>0</v>
      </c>
      <c r="F19" s="10" t="s">
        <v>43</v>
      </c>
      <c r="G19" s="10"/>
      <c r="H19" s="10"/>
      <c r="I19" s="10"/>
      <c r="J19" s="5">
        <v>1</v>
      </c>
      <c r="K19" s="12">
        <v>8</v>
      </c>
    </row>
    <row r="20" ht="19" customHeight="1" spans="1:11" x14ac:dyDescent="0.25">
      <c r="A20" s="10" t="s">
        <v>44</v>
      </c>
      <c r="B20" s="10"/>
      <c r="C20" s="15" t="s">
        <v>34</v>
      </c>
      <c r="D20" s="5">
        <v>0</v>
      </c>
      <c r="E20" s="12">
        <v>0</v>
      </c>
      <c r="F20" s="10" t="s">
        <v>45</v>
      </c>
      <c r="G20" s="10"/>
      <c r="H20" s="10"/>
      <c r="I20" s="10"/>
      <c r="J20" s="5">
        <v>1</v>
      </c>
      <c r="K20" s="12">
        <v>8</v>
      </c>
    </row>
    <row r="21" ht="19" customHeight="1" spans="1:11" x14ac:dyDescent="0.25">
      <c r="A21" s="10" t="s">
        <v>46</v>
      </c>
      <c r="B21" s="10"/>
      <c r="C21" s="15" t="s">
        <v>34</v>
      </c>
      <c r="D21" s="5">
        <v>0</v>
      </c>
      <c r="E21" s="12">
        <v>0</v>
      </c>
      <c r="F21" s="10" t="s">
        <v>46</v>
      </c>
      <c r="G21" s="10"/>
      <c r="H21" s="10"/>
      <c r="I21" s="10"/>
      <c r="J21" s="5">
        <v>0</v>
      </c>
      <c r="K21" s="12">
        <v>0</v>
      </c>
    </row>
    <row r="22" ht="19" customHeight="1" spans="1:11" x14ac:dyDescent="0.25">
      <c r="A22" s="10" t="s">
        <v>46</v>
      </c>
      <c r="B22" s="10"/>
      <c r="C22" s="15" t="s">
        <v>34</v>
      </c>
      <c r="D22" s="5">
        <v>0</v>
      </c>
      <c r="E22" s="12">
        <v>0</v>
      </c>
      <c r="F22" s="10" t="s">
        <v>46</v>
      </c>
      <c r="G22" s="10"/>
      <c r="H22" s="10"/>
      <c r="I22" s="10"/>
      <c r="J22" s="5">
        <v>0</v>
      </c>
      <c r="K22" s="12">
        <v>0</v>
      </c>
    </row>
    <row r="24" ht="22" customHeight="1" spans="1:11" x14ac:dyDescent="0.25">
      <c r="A24" s="11" t="s">
        <v>47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22" customHeight="1" spans="1:11" x14ac:dyDescent="0.25">
      <c r="A25" s="14" t="s">
        <v>48</v>
      </c>
      <c r="B25" s="14" t="s">
        <v>49</v>
      </c>
      <c r="C25" s="14"/>
      <c r="D25" s="14"/>
      <c r="E25" s="14" t="s">
        <v>50</v>
      </c>
      <c r="F25" s="14" t="s">
        <v>51</v>
      </c>
      <c r="G25" s="14"/>
      <c r="H25" s="14" t="s">
        <v>52</v>
      </c>
      <c r="I25" s="14"/>
      <c r="J25" s="14" t="s">
        <v>53</v>
      </c>
      <c r="K25" s="14" t="s">
        <v>54</v>
      </c>
    </row>
    <row r="26" ht="20" customHeight="1" spans="1:11" x14ac:dyDescent="0.25">
      <c r="A26" s="16">
        <v>10</v>
      </c>
      <c r="B26" s="10" t="s">
        <v>55</v>
      </c>
      <c r="C26" s="10"/>
      <c r="D26" s="10"/>
      <c r="E26" s="15" t="s">
        <v>56</v>
      </c>
      <c r="F26" s="17">
        <v>0</v>
      </c>
      <c r="G26" s="17"/>
      <c r="H26" s="18">
        <v>0</v>
      </c>
      <c r="I26" s="18"/>
      <c r="J26" s="19">
        <f>F26*4.67</f>
        <v>0</v>
      </c>
      <c r="K26" s="20">
        <f>H26*4.67</f>
        <v>0</v>
      </c>
    </row>
    <row r="27" ht="20" customHeight="1" spans="1:11" x14ac:dyDescent="0.25">
      <c r="A27" s="16">
        <v>30</v>
      </c>
      <c r="B27" s="10" t="s">
        <v>57</v>
      </c>
      <c r="C27" s="10"/>
      <c r="D27" s="10"/>
      <c r="E27" s="15" t="s">
        <v>56</v>
      </c>
      <c r="F27" s="17">
        <v>0</v>
      </c>
      <c r="G27" s="17"/>
      <c r="H27" s="18">
        <v>0</v>
      </c>
      <c r="I27" s="18"/>
      <c r="J27" s="19">
        <f>F27*7.81</f>
        <v>0</v>
      </c>
      <c r="K27" s="20">
        <f>H27*7.81</f>
        <v>0</v>
      </c>
    </row>
    <row r="28" ht="20" customHeight="1" spans="1:11" x14ac:dyDescent="0.25">
      <c r="A28" s="16">
        <v>33</v>
      </c>
      <c r="B28" s="10" t="s">
        <v>58</v>
      </c>
      <c r="C28" s="10"/>
      <c r="D28" s="10"/>
      <c r="E28" s="15" t="s">
        <v>59</v>
      </c>
      <c r="F28" s="17">
        <v>0</v>
      </c>
      <c r="G28" s="17"/>
      <c r="H28" s="18">
        <v>0</v>
      </c>
      <c r="I28" s="18"/>
      <c r="J28" s="19">
        <f>F28*69.62</f>
        <v>0</v>
      </c>
      <c r="K28" s="20">
        <f>H28*69.62</f>
        <v>0</v>
      </c>
    </row>
    <row r="29" ht="24" customHeight="1" spans="1:11" x14ac:dyDescent="0.25">
      <c r="A29" s="21" t="s">
        <v>60</v>
      </c>
      <c r="B29" s="21"/>
      <c r="C29" s="21"/>
      <c r="D29" s="21"/>
      <c r="E29" s="21"/>
      <c r="F29" s="21"/>
      <c r="G29" s="21"/>
      <c r="H29" s="21"/>
      <c r="I29" s="21"/>
      <c r="J29" s="22">
        <f>SUM(J26:J28)</f>
        <v>0</v>
      </c>
      <c r="K29" s="22">
        <f>SUM(K26:K28)</f>
        <v>0</v>
      </c>
    </row>
    <row r="31" ht="22" customHeight="1" spans="1:11" x14ac:dyDescent="0.25">
      <c r="A31" s="11" t="s">
        <v>61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ht="24" customHeight="1" spans="1:11" x14ac:dyDescent="0.25">
      <c r="A32" s="7" t="s">
        <v>62</v>
      </c>
      <c r="B32" s="7"/>
      <c r="C32" s="7"/>
      <c r="D32" s="23" t="s">
        <v>63</v>
      </c>
      <c r="E32" s="23"/>
      <c r="F32" s="23"/>
      <c r="G32" s="23"/>
      <c r="H32" s="23"/>
      <c r="I32" s="23"/>
      <c r="J32" s="23"/>
      <c r="K32" s="23"/>
    </row>
    <row r="33" ht="24" customHeight="1" spans="1:11" x14ac:dyDescent="0.25">
      <c r="A33" s="7" t="s">
        <v>64</v>
      </c>
      <c r="B33" s="7"/>
      <c r="C33" s="7"/>
      <c r="D33" s="23" t="s">
        <v>65</v>
      </c>
      <c r="E33" s="23"/>
      <c r="F33" s="23"/>
      <c r="G33" s="23"/>
      <c r="H33" s="23"/>
      <c r="I33" s="23"/>
      <c r="J33" s="23"/>
      <c r="K33" s="23"/>
    </row>
    <row r="34" ht="24" customHeight="1" spans="1:11" x14ac:dyDescent="0.25">
      <c r="A34" s="7" t="s">
        <v>66</v>
      </c>
      <c r="B34" s="7"/>
      <c r="C34" s="7"/>
      <c r="D34" s="23" t="s">
        <v>67</v>
      </c>
      <c r="E34" s="23"/>
      <c r="F34" s="23"/>
      <c r="G34" s="23"/>
      <c r="H34" s="23"/>
      <c r="I34" s="23"/>
      <c r="J34" s="23"/>
      <c r="K34" s="23"/>
    </row>
    <row r="35" ht="24" customHeight="1" spans="1:11" x14ac:dyDescent="0.25">
      <c r="A35" s="7" t="s">
        <v>68</v>
      </c>
      <c r="B35" s="7"/>
      <c r="C35" s="7"/>
      <c r="D35" s="23" t="s">
        <v>65</v>
      </c>
      <c r="E35" s="23"/>
      <c r="F35" s="23"/>
      <c r="G35" s="23"/>
      <c r="H35" s="23"/>
      <c r="I35" s="23"/>
      <c r="J35" s="23"/>
      <c r="K35" s="23"/>
    </row>
    <row r="36" ht="24" customHeight="1" spans="1:11" x14ac:dyDescent="0.25">
      <c r="A36" s="7" t="s">
        <v>69</v>
      </c>
      <c r="B36" s="7"/>
      <c r="C36" s="7"/>
      <c r="D36" s="23" t="s">
        <v>70</v>
      </c>
      <c r="E36" s="23"/>
      <c r="F36" s="23"/>
      <c r="G36" s="23"/>
      <c r="H36" s="23"/>
      <c r="I36" s="23"/>
      <c r="J36" s="23"/>
      <c r="K36" s="23"/>
    </row>
    <row r="37" ht="24" customHeight="1" spans="1:11" x14ac:dyDescent="0.25">
      <c r="A37" s="7" t="s">
        <v>71</v>
      </c>
      <c r="B37" s="7"/>
      <c r="C37" s="7"/>
      <c r="D37" s="23" t="s">
        <v>72</v>
      </c>
      <c r="E37" s="23"/>
      <c r="F37" s="23"/>
      <c r="G37" s="23"/>
      <c r="H37" s="23"/>
      <c r="I37" s="23"/>
      <c r="J37" s="23"/>
      <c r="K37" s="23"/>
    </row>
    <row r="38" ht="24" customHeight="1" spans="1:11" x14ac:dyDescent="0.25">
      <c r="A38" s="7" t="s">
        <v>73</v>
      </c>
      <c r="B38" s="7"/>
      <c r="C38" s="7"/>
      <c r="D38" s="23" t="s">
        <v>74</v>
      </c>
      <c r="E38" s="23"/>
      <c r="F38" s="23"/>
      <c r="G38" s="23"/>
      <c r="H38" s="23"/>
      <c r="I38" s="23"/>
      <c r="J38" s="23"/>
      <c r="K38" s="23"/>
    </row>
    <row r="40" ht="22" customHeight="1" spans="1:11" x14ac:dyDescent="0.25">
      <c r="A40" s="11" t="s">
        <v>75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ht="36" customHeight="1" spans="1:11" x14ac:dyDescent="0.25">
      <c r="A41" s="24" t="s">
        <v>76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3" ht="22" customHeight="1" spans="1:11" x14ac:dyDescent="0.25">
      <c r="A43" s="11" t="s">
        <v>77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ht="36" customHeight="1" spans="1:11" x14ac:dyDescent="0.25">
      <c r="A44" s="24" t="s">
        <v>78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6" ht="22" customHeight="1" spans="1:11" x14ac:dyDescent="0.25">
      <c r="A46" s="11" t="s">
        <v>79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ht="36" customHeight="1" spans="1:11" x14ac:dyDescent="0.25">
      <c r="A47" s="24" t="s">
        <v>80</v>
      </c>
      <c r="B47" s="24"/>
      <c r="C47" s="24"/>
      <c r="D47" s="24"/>
      <c r="E47" s="24"/>
      <c r="F47" s="24" t="s">
        <v>81</v>
      </c>
      <c r="G47" s="24"/>
      <c r="H47" s="24"/>
      <c r="I47" s="24"/>
      <c r="J47" s="24"/>
      <c r="K47" s="24"/>
    </row>
    <row r="49" ht="22" customHeight="1" spans="1:11" x14ac:dyDescent="0.25">
      <c r="A49" s="11" t="s">
        <v>82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ht="45" customHeight="1" spans="1:11" x14ac:dyDescent="0.25">
      <c r="A50" s="25" t="s">
        <v>83</v>
      </c>
      <c r="B50" s="25"/>
      <c r="C50" s="25"/>
      <c r="D50" s="25"/>
      <c r="E50" s="25"/>
      <c r="F50" s="25" t="s">
        <v>84</v>
      </c>
      <c r="G50" s="25"/>
      <c r="H50" s="25"/>
      <c r="I50" s="25"/>
      <c r="J50" s="25"/>
      <c r="K50" s="25"/>
    </row>
  </sheetData>
  <mergeCells count="87">
    <mergeCell ref="A1:K1"/>
    <mergeCell ref="A2:K2"/>
    <mergeCell ref="A3:D3"/>
    <mergeCell ref="E3:G3"/>
    <mergeCell ref="H3:K3"/>
    <mergeCell ref="B4:C4"/>
    <mergeCell ref="F4:G4"/>
    <mergeCell ref="H4:K4"/>
    <mergeCell ref="B5:C5"/>
    <mergeCell ref="F5:G5"/>
    <mergeCell ref="H5:K5"/>
    <mergeCell ref="A7:K7"/>
    <mergeCell ref="A8:C8"/>
    <mergeCell ref="D8:E8"/>
    <mergeCell ref="F8:H8"/>
    <mergeCell ref="I8:K8"/>
    <mergeCell ref="A9:C9"/>
    <mergeCell ref="D9:E9"/>
    <mergeCell ref="F9:H9"/>
    <mergeCell ref="I9:K9"/>
    <mergeCell ref="A10:C10"/>
    <mergeCell ref="D10:E10"/>
    <mergeCell ref="F10:H10"/>
    <mergeCell ref="I10:K10"/>
    <mergeCell ref="A11:C11"/>
    <mergeCell ref="D11:E11"/>
    <mergeCell ref="F11:H11"/>
    <mergeCell ref="I11:K11"/>
    <mergeCell ref="A13:E13"/>
    <mergeCell ref="F13:K13"/>
    <mergeCell ref="A14:B14"/>
    <mergeCell ref="F14:I14"/>
    <mergeCell ref="A15:B15"/>
    <mergeCell ref="F15:I15"/>
    <mergeCell ref="A16:B16"/>
    <mergeCell ref="F16:I16"/>
    <mergeCell ref="A17:B17"/>
    <mergeCell ref="F17:I17"/>
    <mergeCell ref="A18:B18"/>
    <mergeCell ref="F18:I18"/>
    <mergeCell ref="A19:B19"/>
    <mergeCell ref="F19:I19"/>
    <mergeCell ref="A20:B20"/>
    <mergeCell ref="F20:I20"/>
    <mergeCell ref="A21:B21"/>
    <mergeCell ref="F21:I21"/>
    <mergeCell ref="A22:B22"/>
    <mergeCell ref="F22:I22"/>
    <mergeCell ref="A24:K24"/>
    <mergeCell ref="B25:D25"/>
    <mergeCell ref="F25:G25"/>
    <mergeCell ref="H25:I25"/>
    <mergeCell ref="B26:D26"/>
    <mergeCell ref="F26:G26"/>
    <mergeCell ref="H26:I26"/>
    <mergeCell ref="B27:D27"/>
    <mergeCell ref="F27:G27"/>
    <mergeCell ref="H27:I27"/>
    <mergeCell ref="B28:D28"/>
    <mergeCell ref="F28:G28"/>
    <mergeCell ref="H28:I28"/>
    <mergeCell ref="A29:I29"/>
    <mergeCell ref="A31:K31"/>
    <mergeCell ref="A32:C32"/>
    <mergeCell ref="D32:K32"/>
    <mergeCell ref="A33:C33"/>
    <mergeCell ref="D33:K33"/>
    <mergeCell ref="A34:C34"/>
    <mergeCell ref="D34:K34"/>
    <mergeCell ref="A35:C35"/>
    <mergeCell ref="D35:K35"/>
    <mergeCell ref="A36:C36"/>
    <mergeCell ref="D36:K36"/>
    <mergeCell ref="A37:C37"/>
    <mergeCell ref="D37:K37"/>
    <mergeCell ref="A38:C38"/>
    <mergeCell ref="D38:K38"/>
    <mergeCell ref="A40:K40"/>
    <mergeCell ref="A41:K41"/>
    <mergeCell ref="A43:K43"/>
    <mergeCell ref="A44:K44"/>
    <mergeCell ref="A46:K46"/>
    <mergeCell ref="A47:E47"/>
    <mergeCell ref="F47:K47"/>
    <mergeCell ref="A49:K49"/>
    <mergeCell ref="A50:E50"/>
    <mergeCell ref="F50:K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outlineLevelRow="0" outlineLevelCol="0" x14ac:dyDescent="55"/>
  <cols>
    <col min="1" max="1" width="12" customWidth="1"/>
    <col min="2" max="2" width="50" customWidth="1"/>
    <col min="3" max="3" width="10" customWidth="1"/>
    <col min="4" max="4" width="14" customWidth="1"/>
    <col min="5" max="5" width="16" customWidth="1"/>
    <col min="6" max="6" width="18" customWidth="1"/>
    <col min="7" max="7" width="14" customWidth="1"/>
  </cols>
  <sheetData>
    <row r="1" ht="28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14" t="s">
        <v>31</v>
      </c>
      <c r="B3" s="14" t="s">
        <v>86</v>
      </c>
      <c r="C3" s="14" t="s">
        <v>50</v>
      </c>
      <c r="D3" s="14" t="s">
        <v>87</v>
      </c>
      <c r="E3" s="14" t="s">
        <v>88</v>
      </c>
      <c r="F3" s="14" t="s">
        <v>89</v>
      </c>
      <c r="G3" s="14" t="s">
        <v>90</v>
      </c>
    </row>
    <row r="4" ht="19" customHeight="1" spans="1:7" x14ac:dyDescent="0.25">
      <c r="A4" s="15">
        <v>10</v>
      </c>
      <c r="B4" s="10" t="s">
        <v>55</v>
      </c>
      <c r="C4" s="15" t="s">
        <v>56</v>
      </c>
      <c r="D4" s="20">
        <v>4.67</v>
      </c>
      <c r="E4" s="18">
        <v>0</v>
      </c>
      <c r="F4" s="20">
        <v>0</v>
      </c>
      <c r="G4" s="15" t="s">
        <v>91</v>
      </c>
    </row>
    <row r="5" ht="19" customHeight="1" spans="1:7" x14ac:dyDescent="0.25">
      <c r="A5" s="15">
        <v>30</v>
      </c>
      <c r="B5" s="10" t="s">
        <v>57</v>
      </c>
      <c r="C5" s="15" t="s">
        <v>56</v>
      </c>
      <c r="D5" s="20">
        <v>7.81</v>
      </c>
      <c r="E5" s="18">
        <v>0</v>
      </c>
      <c r="F5" s="20">
        <v>0</v>
      </c>
      <c r="G5" s="15" t="s">
        <v>91</v>
      </c>
    </row>
    <row r="6" ht="19" customHeight="1" spans="1:7" x14ac:dyDescent="0.25">
      <c r="A6" s="15">
        <v>33</v>
      </c>
      <c r="B6" s="10" t="s">
        <v>58</v>
      </c>
      <c r="C6" s="15" t="s">
        <v>59</v>
      </c>
      <c r="D6" s="20">
        <v>69.62</v>
      </c>
      <c r="E6" s="18">
        <v>0</v>
      </c>
      <c r="F6" s="20">
        <v>0</v>
      </c>
      <c r="G6" s="15" t="s">
        <v>91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RDO</vt:lpstr>
      <vt:lpstr>Rubros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LICOSA Control de Obras</dc:creator>
  <dc:title/>
  <dc:subject/>
  <dc:description/>
  <cp:keywords/>
  <cp:category/>
  <cp:lastModifiedBy>Unknown</cp:lastModifiedBy>
  <dcterms:created xsi:type="dcterms:W3CDTF">2026-10-15T19:40:24Z</dcterms:created>
  <dcterms:modified xsi:type="dcterms:W3CDTF">2026-10-15T19:40:24Z</dcterms:modified>
</cp:coreProperties>
</file>